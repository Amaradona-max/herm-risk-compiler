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vim-fileserver\Amministrativi\Risk Management\Documenti_SC_RM\AODV_RM\Formazione\2026\FR HERM\"/>
    </mc:Choice>
  </mc:AlternateContent>
  <bookViews>
    <workbookView xWindow="-105" yWindow="-105" windowWidth="19425" windowHeight="11505" activeTab="1"/>
  </bookViews>
  <sheets>
    <sheet name="Copertina" sheetId="2" r:id="rId1"/>
    <sheet name="Registro dei Rischi" sheetId="3" r:id="rId2"/>
    <sheet name="Risk Guide" sheetId="4" r:id="rId3"/>
    <sheet name="Risk Model" sheetId="5" r:id="rId4"/>
    <sheet name="Metriche di valutazione" sheetId="6" r:id="rId5"/>
    <sheet name="Appoggio" sheetId="7" r:id="rId6"/>
    <sheet name="Appoggio (2)" sheetId="8" r:id="rId7"/>
  </sheets>
  <definedNames>
    <definedName name="_xlnm._FilterDatabase" localSheetId="5" hidden="1">Appoggio!$G$16:$H$16</definedName>
    <definedName name="_xlnm._FilterDatabase" localSheetId="6" hidden="1">'Appoggio (2)'!$G$16:$H$16</definedName>
    <definedName name="_xlnm._FilterDatabase" localSheetId="1" hidden="1">'Registro dei Rischi'!$C$6:$BD$11</definedName>
    <definedName name="cATEGORIA_RISCHIO">'Appoggio (2)'!$G$3:$G$8</definedName>
    <definedName name="CATEGORIA1">'Appoggio (2)'!$G$3:$G$8</definedName>
    <definedName name="CATEGORIE" localSheetId="6">'Appoggio (2)'!$G$3:$G$8</definedName>
    <definedName name="CATEGORIE">Appoggio!$G$3:$G$8</definedName>
    <definedName name="CATEGORIE1">'Appoggio (2)'!$G$3:$G$8</definedName>
    <definedName name="Informativa_e_reporting" localSheetId="6">'Appoggio (2)'!$R$54:$R$56</definedName>
    <definedName name="Informativa_e_reporting">Appoggio!$R$54:$R$56</definedName>
    <definedName name="Informativa_e_reporting1">'Appoggio (2)'!$Z$14:$Z$16</definedName>
    <definedName name="Rischio_Clinico_Sanitario" localSheetId="6">'Appoggio (2)'!$Q$3:$Q$16</definedName>
    <definedName name="Rischio_Clinico_Sanitario">Appoggio!$Q$3:$Q$16</definedName>
    <definedName name="Rischio_Clinico_Sanitario1">'Appoggio (2)'!$U$3:$U$16</definedName>
    <definedName name="Rischio_di_Compliance" localSheetId="6">'Appoggio (2)'!$Q$46:$Q$51</definedName>
    <definedName name="Rischio_di_Compliance">Appoggio!$Q$46:$Q$51</definedName>
    <definedName name="Rischio_di_Compliance1">'Appoggio (2)'!$AA$3:$AA$8</definedName>
    <definedName name="Rischio_Esterno" localSheetId="6">'Appoggio (2)'!$Q$17:$Q$22</definedName>
    <definedName name="Rischio_Esterno">Appoggio!$Q$17:$Q$22</definedName>
    <definedName name="Rischio_Esterno1">'Appoggio (2)'!$V$3:$V$8</definedName>
    <definedName name="Rischio_Finanziario" localSheetId="6">'Appoggio (2)'!$Q$23:$Q$27</definedName>
    <definedName name="Rischio_Finanziario">Appoggio!$Q$23:$Q$27</definedName>
    <definedName name="Rischio_Finanziario1">'Appoggio (2)'!$W$3:$W$7</definedName>
    <definedName name="Rischio_Operativo" localSheetId="6">'Appoggio (2)'!$Q$34:$Q$45</definedName>
    <definedName name="Rischio_Operativo">Appoggio!$Q$34:$Q$45</definedName>
    <definedName name="Rischio_Operativo1">'Appoggio (2)'!$Y$3:$Y$28</definedName>
    <definedName name="Rischio_Strategico" localSheetId="6">'Appoggio (2)'!$Q$28:$Q$33</definedName>
    <definedName name="Rischio_Strategico">Appoggio!$Q$28:$Q$33</definedName>
    <definedName name="Rischio_Strategico1">'Appoggio (2)'!$X$3:$X$8</definedName>
    <definedName name="Salute_sicurezza_e_ambiente" localSheetId="6">'Appoggio (2)'!$R$57:$R$68</definedName>
    <definedName name="Salute_sicurezza_e_ambiente">Appoggio!$R$57:$R$68</definedName>
    <definedName name="Salute_sicurezza_e_ambiente1">'Appoggio (2)'!$Z$17:$Z$28</definedName>
    <definedName name="SANITARIO" localSheetId="6">'Appoggio (2)'!$Q$3:$Q$16</definedName>
    <definedName name="SANITARIO">Appoggio!$Q$3:$Q$16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8" i="3" l="1"/>
  <c r="BA9" i="3"/>
  <c r="BA10" i="3"/>
  <c r="BA11" i="3"/>
  <c r="BA12" i="3"/>
  <c r="BA13" i="3"/>
  <c r="BA14" i="3"/>
  <c r="AY8" i="3"/>
  <c r="AY9" i="3"/>
  <c r="AY10" i="3"/>
  <c r="AY11" i="3"/>
  <c r="AY12" i="3"/>
  <c r="AY13" i="3"/>
  <c r="AY14" i="3"/>
  <c r="BA7" i="3"/>
  <c r="AY7" i="3"/>
  <c r="AM8" i="3"/>
  <c r="AU8" i="3" s="1"/>
  <c r="AM9" i="3"/>
  <c r="AM10" i="3"/>
  <c r="AM11" i="3"/>
  <c r="AU11" i="3" s="1"/>
  <c r="AM12" i="3"/>
  <c r="AU12" i="3" s="1"/>
  <c r="AM13" i="3"/>
  <c r="AM14" i="3"/>
  <c r="AM7" i="3"/>
  <c r="AU7" i="3" s="1"/>
  <c r="AE8" i="3"/>
  <c r="AF8" i="3"/>
  <c r="AG8" i="3"/>
  <c r="AH8" i="3"/>
  <c r="AI8" i="3"/>
  <c r="AR8" i="3" s="1"/>
  <c r="AJ8" i="3"/>
  <c r="AE9" i="3"/>
  <c r="AF9" i="3"/>
  <c r="AG9" i="3"/>
  <c r="AP9" i="3" s="1"/>
  <c r="AH9" i="3"/>
  <c r="AQ9" i="3" s="1"/>
  <c r="AI9" i="3"/>
  <c r="AR9" i="3" s="1"/>
  <c r="AJ9" i="3"/>
  <c r="AS9" i="3" s="1"/>
  <c r="AE10" i="3"/>
  <c r="AF10" i="3"/>
  <c r="AG10" i="3"/>
  <c r="AH10" i="3"/>
  <c r="AQ10" i="3" s="1"/>
  <c r="AI10" i="3"/>
  <c r="AJ10" i="3"/>
  <c r="AE11" i="3"/>
  <c r="AF11" i="3"/>
  <c r="AG11" i="3"/>
  <c r="AP11" i="3" s="1"/>
  <c r="AH11" i="3"/>
  <c r="AQ11" i="3" s="1"/>
  <c r="AI11" i="3"/>
  <c r="AR11" i="3" s="1"/>
  <c r="AJ11" i="3"/>
  <c r="AS11" i="3" s="1"/>
  <c r="AE12" i="3"/>
  <c r="AF12" i="3"/>
  <c r="AG12" i="3"/>
  <c r="AH12" i="3"/>
  <c r="AI12" i="3"/>
  <c r="AR12" i="3" s="1"/>
  <c r="AJ12" i="3"/>
  <c r="AE13" i="3"/>
  <c r="AF13" i="3"/>
  <c r="AG13" i="3"/>
  <c r="AP13" i="3" s="1"/>
  <c r="AH13" i="3"/>
  <c r="AQ13" i="3" s="1"/>
  <c r="AI13" i="3"/>
  <c r="AR13" i="3" s="1"/>
  <c r="AJ13" i="3"/>
  <c r="AS13" i="3" s="1"/>
  <c r="AE14" i="3"/>
  <c r="AF14" i="3"/>
  <c r="AG14" i="3"/>
  <c r="AH14" i="3"/>
  <c r="AI14" i="3"/>
  <c r="AR14" i="3" s="1"/>
  <c r="AJ14" i="3"/>
  <c r="AF7" i="3"/>
  <c r="AG7" i="3"/>
  <c r="AP7" i="3" s="1"/>
  <c r="AH7" i="3"/>
  <c r="AQ7" i="3" s="1"/>
  <c r="AI7" i="3"/>
  <c r="AJ7" i="3"/>
  <c r="AE7" i="3"/>
  <c r="AU14" i="3"/>
  <c r="AS14" i="3"/>
  <c r="AQ14" i="3"/>
  <c r="AP14" i="3"/>
  <c r="AO14" i="3"/>
  <c r="AN14" i="3"/>
  <c r="U14" i="3"/>
  <c r="W14" i="3" s="1"/>
  <c r="AU13" i="3"/>
  <c r="AO13" i="3"/>
  <c r="AN13" i="3"/>
  <c r="U13" i="3"/>
  <c r="W13" i="3" s="1"/>
  <c r="AS12" i="3"/>
  <c r="AQ12" i="3"/>
  <c r="AP12" i="3"/>
  <c r="AO12" i="3"/>
  <c r="AN12" i="3"/>
  <c r="U12" i="3"/>
  <c r="W12" i="3" s="1"/>
  <c r="AO11" i="3"/>
  <c r="AN11" i="3"/>
  <c r="U11" i="3"/>
  <c r="W11" i="3" s="1"/>
  <c r="AU10" i="3"/>
  <c r="AS10" i="3"/>
  <c r="AR10" i="3"/>
  <c r="AP10" i="3"/>
  <c r="AO10" i="3"/>
  <c r="AN10" i="3"/>
  <c r="U10" i="3"/>
  <c r="W10" i="3" s="1"/>
  <c r="AU9" i="3"/>
  <c r="AO9" i="3"/>
  <c r="AN9" i="3"/>
  <c r="U9" i="3"/>
  <c r="W9" i="3" s="1"/>
  <c r="AS8" i="3"/>
  <c r="AQ8" i="3"/>
  <c r="AP8" i="3"/>
  <c r="AO8" i="3"/>
  <c r="AN8" i="3"/>
  <c r="U8" i="3"/>
  <c r="W8" i="3" s="1"/>
  <c r="AR7" i="3"/>
  <c r="AS7" i="3"/>
  <c r="AO7" i="3"/>
  <c r="AN7" i="3"/>
  <c r="U7" i="3"/>
  <c r="W7" i="3" s="1"/>
  <c r="D12" i="3"/>
  <c r="D9" i="3"/>
  <c r="D7" i="3"/>
  <c r="D11" i="3"/>
  <c r="D14" i="3"/>
  <c r="D8" i="3"/>
  <c r="D10" i="3"/>
  <c r="D13" i="3"/>
  <c r="BC7" i="3" l="1"/>
  <c r="AT11" i="3"/>
  <c r="AV11" i="3" s="1"/>
  <c r="AT14" i="3"/>
  <c r="AV14" i="3" s="1"/>
  <c r="AT8" i="3"/>
  <c r="AV8" i="3" s="1"/>
  <c r="BC12" i="3"/>
  <c r="BC8" i="3"/>
  <c r="BC11" i="3"/>
  <c r="BC14" i="3"/>
  <c r="BC9" i="3"/>
  <c r="BC10" i="3"/>
  <c r="BC13" i="3"/>
  <c r="AT9" i="3"/>
  <c r="AV9" i="3" s="1"/>
  <c r="AT12" i="3"/>
  <c r="AV12" i="3" s="1"/>
  <c r="AT13" i="3"/>
  <c r="AV13" i="3" s="1"/>
  <c r="AT10" i="3"/>
  <c r="AV10" i="3" s="1"/>
  <c r="AT7" i="3"/>
  <c r="AV7" i="3" s="1"/>
  <c r="BB13" i="3"/>
  <c r="BB14" i="3"/>
  <c r="BB8" i="3"/>
  <c r="BB11" i="3"/>
  <c r="BD14" i="3" l="1"/>
  <c r="BD13" i="3"/>
  <c r="BB10" i="3"/>
  <c r="BD10" i="3" s="1"/>
  <c r="BB12" i="3"/>
  <c r="BD12" i="3" s="1"/>
  <c r="BB9" i="3"/>
  <c r="BD9" i="3" s="1"/>
  <c r="BD11" i="3"/>
  <c r="BD8" i="3"/>
  <c r="BB7" i="3"/>
  <c r="BD7" i="3" s="1"/>
</calcChain>
</file>

<file path=xl/sharedStrings.xml><?xml version="1.0" encoding="utf-8"?>
<sst xmlns="http://schemas.openxmlformats.org/spreadsheetml/2006/main" count="1243" uniqueCount="438">
  <si>
    <t>Registro dei Rischi</t>
  </si>
  <si>
    <t>OWNERSHIP DEL RISCHIO</t>
  </si>
  <si>
    <t>ANAGRAFICA DEL RISCHIO</t>
  </si>
  <si>
    <t>ANALISI DEL RISCHIO</t>
  </si>
  <si>
    <t>VALUTAZIONE RISCHIO INERENTE</t>
  </si>
  <si>
    <t>VALUTAZIONE SISTEMA DI CONTROLLI IN ESSERE</t>
  </si>
  <si>
    <t>VALUTAZIONE RISCHIO RESIDUO</t>
  </si>
  <si>
    <t>AZIONI</t>
  </si>
  <si>
    <t>VALUTAZIONE AZIONI DI MITIGAZIONE E MIGLIORAMENTO</t>
  </si>
  <si>
    <t>VALUTAZIONE RISCHIO RESIDUO TO-BE</t>
  </si>
  <si>
    <t># Rischio</t>
  </si>
  <si>
    <t>ID Rischio</t>
  </si>
  <si>
    <t>Direzione</t>
  </si>
  <si>
    <t>Risk Owner</t>
  </si>
  <si>
    <t>Processo</t>
  </si>
  <si>
    <t>Categoria Rischio Livello 1</t>
  </si>
  <si>
    <t>Categoria Rischio Livello 2</t>
  </si>
  <si>
    <t>Categoria Rischio Livello 3</t>
  </si>
  <si>
    <t>Scenario di rischio</t>
  </si>
  <si>
    <t>Principali cause del rischio</t>
  </si>
  <si>
    <t>Principali conseguenze del rischio</t>
  </si>
  <si>
    <t>Driver di valutazione del rischio</t>
  </si>
  <si>
    <t>Economico-Finanziario</t>
  </si>
  <si>
    <t>Reputazionale</t>
  </si>
  <si>
    <t>Salute e Sicurezza</t>
  </si>
  <si>
    <t>Compliance</t>
  </si>
  <si>
    <t>Gestionale - Operativo</t>
  </si>
  <si>
    <t>Ambiente</t>
  </si>
  <si>
    <t>Impatto Inerente</t>
  </si>
  <si>
    <t>Probabilità Inerente</t>
  </si>
  <si>
    <t>RPN Inerente</t>
  </si>
  <si>
    <t>Mitigazioni operative CORRETTIVE in essere</t>
  </si>
  <si>
    <t>Valutazione controlli su impatto eco-fin</t>
  </si>
  <si>
    <t>Valutazione controlli su impatto reputazionale</t>
  </si>
  <si>
    <t>Valutazione controlli su impatto salute e sicurezza</t>
  </si>
  <si>
    <t>Valutazione controlli su impatto compliance</t>
  </si>
  <si>
    <t>Valutazione controlli su impatto gest-ope</t>
  </si>
  <si>
    <t>Valutazione controlli su impatto ambientale</t>
  </si>
  <si>
    <t>Fattore riduzione impatto eco-fin</t>
  </si>
  <si>
    <t>Fattore riduzione impatto reputazionale</t>
  </si>
  <si>
    <t>Fattore riduzione impatto salute e sicurezza</t>
  </si>
  <si>
    <t>Fattore riduzione impatto compliance</t>
  </si>
  <si>
    <t>Fattore riduzione impatto gest-ope</t>
  </si>
  <si>
    <t>Fattore riduzione impatto ambientale</t>
  </si>
  <si>
    <t>Mitigazioni operative PREVENTIVE in essere</t>
  </si>
  <si>
    <t>Valutazione controlli preventivi</t>
  </si>
  <si>
    <t>Fattore riduzione probabilità</t>
  </si>
  <si>
    <t>Gestionale- Operativo</t>
  </si>
  <si>
    <t>Impatto Residuo</t>
  </si>
  <si>
    <t>Probabilità Residua</t>
  </si>
  <si>
    <t xml:space="preserve"> RPN Residuo</t>
  </si>
  <si>
    <t>Azioni di mitigazione e miglioramento</t>
  </si>
  <si>
    <t>Efficacia delle azioni CORRETTIVE</t>
  </si>
  <si>
    <t>Fattore riduzione impatto</t>
  </si>
  <si>
    <t>Efficacia delle azioni PREVENTIVE</t>
  </si>
  <si>
    <t>Impatto Residuo to-be</t>
  </si>
  <si>
    <t>Probabilità residua to-be</t>
  </si>
  <si>
    <t xml:space="preserve"> RPN Residuo to-be</t>
  </si>
  <si>
    <t>Risk Guide</t>
  </si>
  <si>
    <t>Risk Model</t>
  </si>
  <si>
    <t>Metriche di Valutazione</t>
  </si>
  <si>
    <t>Affari Generali e Legali</t>
  </si>
  <si>
    <t>Rischio di Compliance</t>
  </si>
  <si>
    <t>Contrattualistica e controversie legali</t>
  </si>
  <si>
    <t>Rischio Finanziario</t>
  </si>
  <si>
    <t>Liquidità e credito</t>
  </si>
  <si>
    <t>Rischio Operativo</t>
  </si>
  <si>
    <t>Sicurezza delle informazioni e tutela privacy</t>
  </si>
  <si>
    <t>Attività, processi e procedure</t>
  </si>
  <si>
    <t>Informativa e reporting</t>
  </si>
  <si>
    <t>Numero progressivo associato a ciascuno scenario di rischio</t>
  </si>
  <si>
    <t>Codice univoco associato a ciascuno scenario di rischio rilevato, contenente la sigla del Processo, la Categoria di Rischio e il numero progressivo associato a ciascuno scenario di rischio</t>
  </si>
  <si>
    <t>Area aziendale responsabile della gestione del rischio identificato</t>
  </si>
  <si>
    <t>Responsabile dell'Area aziendale che gestisce il rischio, ne comprende l’entità, decide la misura di trattamento (tollerarlo, mitigarlo, esternalizzarlo, eliminarlo) e guida la sua implementazione</t>
  </si>
  <si>
    <t>Processo di riferimento, individuato sulla base del Process Model specifico per la struttura</t>
  </si>
  <si>
    <t>Categoria Rischio Liv. 1</t>
  </si>
  <si>
    <t>Raggruppamento dei rischi secondo categorie omogenee per natura, caratteristiche o manifestazione. Le categorie sono identificate e definite nel Risk Model.</t>
  </si>
  <si>
    <t>Categoria Rischio Liv. 2</t>
  </si>
  <si>
    <t>Sotto-categorie di rischio identificate nel Risk Model</t>
  </si>
  <si>
    <t>Categoria di rischio di 3° livello identificate nel Risk Model</t>
  </si>
  <si>
    <r>
      <t xml:space="preserve">Descrizione del rischio rilevato.
</t>
    </r>
    <r>
      <rPr>
        <b/>
        <sz val="14"/>
        <color rgb="FF003399"/>
        <rFont val="Helvetica Now Text"/>
        <family val="2"/>
      </rPr>
      <t>Rischio:</t>
    </r>
    <r>
      <rPr>
        <sz val="14"/>
        <color rgb="FF003399"/>
        <rFont val="Helvetica Now Text"/>
        <family val="2"/>
      </rPr>
      <t xml:space="preserve"> Evento probabile ma non certo che può portare ad uno scostamento (negativo) dagli obiettivi o dal valore atteso</t>
    </r>
  </si>
  <si>
    <t xml:space="preserve"> Principali cause che possono scatenare il rischio rilevato</t>
  </si>
  <si>
    <t>Principali conseguenze che possono derivare dal rischio</t>
  </si>
  <si>
    <t>Valutazione del Rischio</t>
  </si>
  <si>
    <t>Informazioni a supporto del processo di valutazione</t>
  </si>
  <si>
    <t>Valutazione Rischio Inerente</t>
  </si>
  <si>
    <t>Valori di impatto e probabilità (basati sulle metriche definite e disponibili nello sheet "Metriche di valutazione") assegnati al fine di determinare il valore di rischio inerente</t>
  </si>
  <si>
    <t>Mitigazioni operative correttive in essere</t>
  </si>
  <si>
    <t>Attività operative poste in essere dall'Area Aziendale per contenere l'impatto del rischio</t>
  </si>
  <si>
    <t>Mitigazioni operative preventive in essere</t>
  </si>
  <si>
    <t>Attività operative poste in essere dall'Area Aziendale per ridurre la probabilità di accadimento del rischio</t>
  </si>
  <si>
    <t>Valutazione Rischio Residuo</t>
  </si>
  <si>
    <t>Valori di impatto e probabilità (basati sulle metriche definite e disponibili nello sheet "Metriche di valutazione") assegnati al fine di determinare il valore di rischio residuo</t>
  </si>
  <si>
    <t>Azioni di mitigazioni e miglioramento</t>
  </si>
  <si>
    <t>Raccomandazioni ulteriori proposte per la mitigazione del rischio</t>
  </si>
  <si>
    <t>Valutazione Rischio Residuo to-be</t>
  </si>
  <si>
    <t>Valore del rischio residuo previsto, considerata l'implementazione delle azioni di mitigazione e miglioramento</t>
  </si>
  <si>
    <t>Categoria di Rischio Liv. 1</t>
  </si>
  <si>
    <t>Categoria di Rischio Liv. 2</t>
  </si>
  <si>
    <t>Descrizione</t>
  </si>
  <si>
    <t>Categoria di Rischio Liv. 3</t>
  </si>
  <si>
    <r>
      <t xml:space="preserve">CLINICO-SANITARI
</t>
    </r>
    <r>
      <rPr>
        <sz val="8"/>
        <rFont val="Helvetica Now Text"/>
        <family val="2"/>
      </rPr>
      <t>(Rischi derivanti da eventi che possono prolungare il periodo di degenza, il peggioramento delle condizioni di salute o la morte del paziente)</t>
    </r>
  </si>
  <si>
    <t>Anestesiologico</t>
  </si>
  <si>
    <t>Durante l’induzione dell’anestesia o in fase di rianimazione, somministrazione di farmaci/dosaggi sbagliati o esecuzione di procedure/manovre errate che possono causare reazioni avverse (es. lesioni, reazioni allergiche).</t>
  </si>
  <si>
    <t>Assistenziale</t>
  </si>
  <si>
    <t>Ogni inesattezza, incompletezza od omissione commessa nell’esecuzione di procedure/manovre clinico-assistenziali mediche e infermieristiche (es. posizionamento catetere/drenaggio, preparazione intervento, mobilizzazione e posizionamento nel posto letto, sorveglianza post-operatoria) che possono causare aventi avversi.</t>
  </si>
  <si>
    <t>Atti di autolesione e tentativi di suicidio</t>
  </si>
  <si>
    <t>Possibilità del paziente di provocarsi dolore o lesioni superficiali intenzionali finalizzati all’autolesionismo o alla morte. Atti di autolesione non intenzionali.</t>
  </si>
  <si>
    <t>Caduta</t>
  </si>
  <si>
    <t>Improvviso, non intenzionale, inaspettato spostamento verso il basso dalla posizione ortostatica o assisa o clinostatica del paziente, ospite o caregiver. La testimonianza delle cadute è basata sul ricordo del paziente e/o la descrizione della caduta da parte dei testimoni. Qui sono incluse i pazienti che dormendo sulla sedia cadono per terra, i pazienti ritrovati sul pavimento e le cadute avvenute nonostante il supporto.</t>
  </si>
  <si>
    <t>Chirurgico</t>
  </si>
  <si>
    <t xml:space="preserve">Corpi estranei nel focolaio chirurgico, intervento su parte o lato del corpo sbagliata, esecuzione chirurgica impropria, chirurgia non necessaria, utilizzo di materiale chirurgico difettoso, gestione non corretta del paziente chirurgico. </t>
  </si>
  <si>
    <t>Diagnostico</t>
  </si>
  <si>
    <t>Esami o procedure diagnostiche non eseguite, programmate ma non eseguite, eseguite in modo inadeguato o scorretto o con materiali inadeguati, eseguite tardivamente, non appropriate. L’area include le procedure invasive e non invasive a scopo diagnostico.</t>
  </si>
  <si>
    <t>Gestione / redazione documenti</t>
  </si>
  <si>
    <t>Inesattezza, incompletezza, scarsa leggibilità, incomprensione degli acronimi/abbreviazioni della documentazione utilizzata nei processi clinico-assistenziali (es. consenso informato, cartella clinica, cartella infermieristica, referti, lettera dimissioni). Documentazione sanitaria che non rappresenta esaustivamente il percorso del paziente (inclusi eventuali trasferimenti) o che non contiene informazioni per garantire la continuità delle cure.</t>
  </si>
  <si>
    <t>Identificazione del paziente</t>
  </si>
  <si>
    <t>Possibilità di scambiare dati anagrafici di pazienti diversi oppure di eseguire procedure diagnostico-terapeutiche su un paziente ma prescritte a pazienti diversi.</t>
  </si>
  <si>
    <t>Infezione correlata all'assistenza</t>
  </si>
  <si>
    <t>Possibilità di acquisire infezioni in ogni ambito assistenziale, incluso gli ospedali per acuti, il day-hospital/day-surgery, le strutture di lungodegenza, gli ambulatori, l’assistenza domiciliare, le strutture residenziali territoriali.</t>
  </si>
  <si>
    <t>Ostetrico e neonatale, inclusi i trigger</t>
  </si>
  <si>
    <t>Ogni inesattezza, incompletezza od omissione che può verificarsi nelle fasi di gestione dei percorsi di cura materno-neonatali nelle fasi di gravidanza, parto e puerperio.</t>
  </si>
  <si>
    <t>Prevenzione</t>
  </si>
  <si>
    <t>Ogni inesattezza, incompletezza od omissione che può verificarsi nelle campagne di promozione della salute individuale e collettiva (es. screening, iniziative di sensibilizzazione) o nelle attività finalizzate alla riduzione dei fattori di rischio delle malattie (es. vaccini, profilassi antibiotica).</t>
  </si>
  <si>
    <t>Sperimentazioni cliniche</t>
  </si>
  <si>
    <t>Violazione dei diritti, della sicurezza e del benessere dei soggetti coinvolti nelle sperimentazioni cliniche. Inesattezza/incompletezza del protocollo di sperimentazione. Mancata indipendenza del Comitato Etico.</t>
  </si>
  <si>
    <t>Terapeutico</t>
  </si>
  <si>
    <t>Ogni evento avverso, indesiderabile, non intenzionale, prevenibile che può causare o portare ad un uso inappropriato del farmaco o ad un pericolo per il paziente: errore di prescrizione, di trasmissione della prescrizione, etichettatura, confezionamento o denominazione, allestimento, dispensazione, distribuzione, somministrazione, educazione, monitoraggio ed uso.</t>
  </si>
  <si>
    <t>Trasfusionale</t>
  </si>
  <si>
    <t>Ogni inesattezza, incompletezza od omissione che può verificarsi nelle fasi del processo trasfusionale: prelievo del campione, richiesta di emocomponenti, accettazione-registrazione-assegnazione presso il Servizio Trasfusionale e trasfusione presso la struttura sanitaria.</t>
  </si>
  <si>
    <r>
      <t xml:space="preserve">ESTERNI
</t>
    </r>
    <r>
      <rPr>
        <sz val="8"/>
        <rFont val="Helvetica Now Text"/>
        <family val="2"/>
      </rPr>
      <t>(Rischi derivanti da eventi e cambiamenti nell'ambiente e nel contesto in cui l'azienda opera)</t>
    </r>
  </si>
  <si>
    <t>Contesto socio-economico nazionale e regionale</t>
  </si>
  <si>
    <t>Dinamiche macroeconomiche o di contesto socio-politico che generano ripercussioni negative sullo scenario in cui l’Azienda opera.</t>
  </si>
  <si>
    <t>Eventi naturali o accidentale</t>
  </si>
  <si>
    <t>Eventi catastrofali o calamitosi di tipo naturale (es. alluvioni, inondazioni, terremoti) o atto involontario che genera conseguenze negative sull’operatività aziendale.</t>
  </si>
  <si>
    <t>Evoluzione del contesto normativo</t>
  </si>
  <si>
    <t>Variazioni/cambiamenti sfavorevoli delle norme/regolamenti regionali e nazionali vigenti con ripercussioni sulle attività e sulla struttura organizzativa.</t>
  </si>
  <si>
    <t>Gestione Terze Parti</t>
  </si>
  <si>
    <t>Difformità qualitative, ritardi nei tempi di fornitura e ogni altro tipo di inadempimento contrattuale generato dai fornitori di beni e servizi. Informazioni inesatte, ritardi e ogni altra forma di scarsa collaborazione di soggetti coinvolti nei progetti di partnership.</t>
  </si>
  <si>
    <t>Illeciti esterni</t>
  </si>
  <si>
    <t>Atto/comportamento illecito doloso o colposo commesso da terzi o che coinvolgono terze parti che causa un danno all’azienda, alle persone o alle cose ad esclusione degli attacchi informatici.</t>
  </si>
  <si>
    <t>Sicurezza informatica</t>
  </si>
  <si>
    <t>Attacchi informatici posti in essere da individui o organizzazioni criminali finalizzati a trafugare, disabilitare o distruggere dati o generare guasti e interruzioni ai sistemi informatici aziendali.</t>
  </si>
  <si>
    <r>
      <t xml:space="preserve"> FINANZIARI
</t>
    </r>
    <r>
      <rPr>
        <sz val="8"/>
        <rFont val="Helvetica Now Text"/>
        <family val="2"/>
      </rPr>
      <t>(Rischi legati agli aspetti finanziari, ad esempio mercato, credito)</t>
    </r>
    <r>
      <rPr>
        <sz val="8"/>
        <color rgb="FF000000"/>
        <rFont val="Helvetica Now Text"/>
        <family val="2"/>
      </rPr>
      <t xml:space="preserve"> </t>
    </r>
  </si>
  <si>
    <t>Contabilità e reporting finanziario</t>
  </si>
  <si>
    <t>Inesattezze, errori ed omissioni commessi nelle attività e nei processi di rilevazione contabile e predisposizione della reportistica direzionale (es. controllo di gestione) che compromettono l’attendibilità dei dati aziendali.</t>
  </si>
  <si>
    <t>Erariale patrimoniale</t>
  </si>
  <si>
    <t>Ogni circostanza di danneggiamento o perdita di beni o denaro generato alle finanze pubbliche da comportamenti o omissioni dolose o colpose commessi da soggetti legati all’amministrazione da un rapporto di servizio.</t>
  </si>
  <si>
    <t>Fiscale</t>
  </si>
  <si>
    <t>Inesattezze, errori ed omissioni commessi nell’esecuzione delle attività e nella gestione dei processi della fiscalità aziendale.</t>
  </si>
  <si>
    <t>Eccessi o carenze delle disponibilità di cassa rispetto alla pianificazione dei flussi di cassa. Riduzione del valore dei crediti iscritti in bilancio causato da inadempimenti contrattuali o abbassamento del grado di solvibilità dei debitori.</t>
  </si>
  <si>
    <t>Tassi d’interesse</t>
  </si>
  <si>
    <t>Variazioni inattese dei tassi d'interesse con ricadute sui valori iscritti tra le attività e passività di bilancio e/o sulla gestione finanziaria.</t>
  </si>
  <si>
    <r>
      <t>STRATEGICI</t>
    </r>
    <r>
      <rPr>
        <sz val="9"/>
        <rFont val="Helvetica Now Text"/>
        <family val="2"/>
      </rPr>
      <t xml:space="preserve">
</t>
    </r>
    <r>
      <rPr>
        <sz val="8"/>
        <rFont val="Helvetica Now Text"/>
        <family val="2"/>
      </rPr>
      <t>(Rischi derivanti da decisioni strategiche sbagliate, dalla loro attuazione inadeguata o da una governance aziendale non adeguata al raggiungimento degli obiettivi aziendali. I rischi strategici possono anche derivare dal disallineamento della strategia con la visione, la missione e i valori fondamentali dell'azienda).</t>
    </r>
  </si>
  <si>
    <t>Comunicazione e relazioni istituzionali</t>
  </si>
  <si>
    <t>Ogni evento/circostanza che compromette la capacità dell’Azienda di comunicare efficacemente con stakeholder esterni e/o creare/mantenere relazioni.</t>
  </si>
  <si>
    <t>Governance</t>
  </si>
  <si>
    <t>Possibilità di incoerenza fra obiettivi strategici e mission vision aziendali. Struttura organizzativa (ruoli e responsabilità) e linee guida/principi di governo parziali o inadeguati.</t>
  </si>
  <si>
    <t>Immagine/Reputazione</t>
  </si>
  <si>
    <t>Ogni evento/circostanza che compromette l'immagine dell’Azienda davanti gli stakeholders interni o esterni rilevanti (es. dipendenti, associazioni pazienti, enti di volontariato, fornitori, autorità e istituzioni nazionali/internazionali) derivante dalla diffusione di notizie negative su media, stampa, web o altri mezzi di comunicazione.</t>
  </si>
  <si>
    <t>Investimenti e patrimonio</t>
  </si>
  <si>
    <t>Inadeguata gestione degli investimenti o del patrimonio. Inappropriate o inadeguate Iniziative di crescita organica, azioni di miglioramento o progetti di ampliamento del sistema di offerta.</t>
  </si>
  <si>
    <t>Pianificazione strategica</t>
  </si>
  <si>
    <t>Pianificazione strategica non rispondente alle priorità del sistema socio sanitario regionale o incompatibile con le risorse disponibili. Obiettivi definiti sulla base di dati/informazioni parziali, incompleti o inadeguati.</t>
  </si>
  <si>
    <t>Sistema di Controllo Interno</t>
  </si>
  <si>
    <t>Inadeguato / inefficace processo di identificazione, valutazione, gestione e monitoraggio dei rischi e/o inadeguatezza dei presidi di controllo implementati.</t>
  </si>
  <si>
    <r>
      <t xml:space="preserve">OPERATIVI
</t>
    </r>
    <r>
      <rPr>
        <sz val="8"/>
        <color rgb="FF000000"/>
        <rFont val="Helvetica Now Text"/>
        <family val="2"/>
      </rPr>
      <t>(Rischi derivanti da inadeguatezze o errori nei processi aziendali e di supporto e/o difetti nel sistema dei controlli operativi)</t>
    </r>
  </si>
  <si>
    <t>Carenze nel disegno dei processi dell’Azienda, inadempienze / negligenze / errori nelle modalità di esecuzione / gestione delle attività operative e dai relativi presidi di controllo.</t>
  </si>
  <si>
    <t>Asset infrastrutturali e tecnologia</t>
  </si>
  <si>
    <t xml:space="preserve">Infrastrutture e tecnologie, diverse dalle apparecchiature sanitarie, strutturalmente inadatte (es. rete informatica che non consente di caricare i documenti sanitari, sede operativa che non garantisce la regolazione della temperatura nei locali di cura) o oggetto di malfunzionamenti (es. blocco server), danneggiamenti, errori d’uso, carente manutenzione. </t>
  </si>
  <si>
    <t>Business Continuity</t>
  </si>
  <si>
    <t>Compromissione dell'integrità e della continuità operativa di persone, asset infrastrutturali e/o tecnologici aziendali per un evento non direttamente collegato all’attività dell’Azienda.</t>
  </si>
  <si>
    <t>Comunicazione e relazioni</t>
  </si>
  <si>
    <t>Criticità o mancanza di trasparenza nelle modalità di comunicazione degli operatori con i pazienti, caregiver o familiari, prima, durante e dopo l’esecuzione dei servizi sanitari. Mancata o inadeguata comunicazione interna tra operatori e i criticità relative all'accesso alle informazioni e alle comunicazioni tra management e operatori sanitari.</t>
  </si>
  <si>
    <t>Continuità e coordinamento percorsi assistenziali</t>
  </si>
  <si>
    <t>Carenze nella definizione dei percorsi assistenziali e nelle attività di presa in carico dei bisogni assistenziali. Inefficaci o incompleti meccanismi di coordinamento tra operatori sanitari che possono pregiudicare la continuità delle cure e la qualità dell’assistenza.</t>
  </si>
  <si>
    <t>Edifici e spazi comuni</t>
  </si>
  <si>
    <t>Ogni fatto o circostanza che arreca danni a persone o cose in vari ambiti (es. ascensore, scale, corridoi, parcheggi, spazi esterni alle strutture sanitarie).</t>
  </si>
  <si>
    <t>Gestione apparecchiature sanitarie</t>
  </si>
  <si>
    <t>Malfunzionamenti dovuto a problemi tecnici di fabbricazione (non causati dall’utilizzatore), malfunzionamenti dovuto all’utilizzatore (manutenzione, impostazione, altri errori d’uso), uso in condizioni non appropriate, manutenzione inadeguata, istruzioni inadeguate, pulizia non corretta, utilizzo oltre i limiti di durata previsti delle apparecchiature sanitarie.</t>
  </si>
  <si>
    <t>Gestione farmaci e dispositivi medici</t>
  </si>
  <si>
    <t>Ogni inesattezza, incompletezza od omissione riconducibile alle fasi logistiche ed operative che assicurano l’approvvigionamento, la conservazione e la disponibilità di farmaci e dispositivi medici.</t>
  </si>
  <si>
    <t>Illeciti interni</t>
  </si>
  <si>
    <t>Qualunque azione, al di fuori dell’ambito della sicurezza dei dati e delle informazioni, nella quale un dipendente sottragga o si appropri di beni aziendali o, in alternativa, commetta atti rivolti ad arrecare un danno all’azienda.</t>
  </si>
  <si>
    <t>Persone e cultura</t>
  </si>
  <si>
    <t>Criticità derivanti dal mancato allineamento tra ruoli e personale dipendente. Scarsa diffusione e conoscenza della cultura e dei valori aziendali. Inefficacia dei programmi formativi.</t>
  </si>
  <si>
    <t xml:space="preserve">Carenze dei contenuti o nella gestione dei flussi informativi interni ed esterni che possono generare errori di programmazione o sanzioni per tardiva comunicazione. </t>
  </si>
  <si>
    <t>Informativa strategica / di programmazione</t>
  </si>
  <si>
    <t>Carenza o inesattezza delle informazioni del contesto interno e/o esterno che possono influire negativamente sulla programmazione.</t>
  </si>
  <si>
    <t>Misurazione delle performance</t>
  </si>
  <si>
    <t>Ogni inesattezza, incompletezza od omissione riconducibile alle attività e ai processi di misurazione delle performance.</t>
  </si>
  <si>
    <t>Informativa interna ed esterna</t>
  </si>
  <si>
    <t>Flussi informativi non correttamente gestiti in termini di modalità e contenuti.</t>
  </si>
  <si>
    <t>Salute, sicurezza e ambientale</t>
  </si>
  <si>
    <t>Infortuni, lesioni o malattie professionali ai danni del personale dipendente, inclusi l’esposizione a fattori di rischio (es. radiazioni) e gli agiti aggressivi fisici o verbali. Eventi/circostanze di responsabilità aziendale che generano un impatto negativo sull’ambiente.</t>
  </si>
  <si>
    <t>Atti di violenza su operatori</t>
  </si>
  <si>
    <t>Aggressioni fisiche o verbali a danno degli operatori delle strutture sanitarie.</t>
  </si>
  <si>
    <t>Rischio biologico</t>
  </si>
  <si>
    <t>Ogni evento dannoso per la salute dei lavoratori derivante da microrganismi, anche geneticamente modificati. Ferite da taglio e da punta con oggetti contaminati da materiale biologico.</t>
  </si>
  <si>
    <t>Rischio chimico</t>
  </si>
  <si>
    <t>Ogni evento dannoso per la salute dei lavoratori derivante dall’utilizzo o dal contatto con sostanze pericolose e dallo sversamento/spandimento di sostanze chimiche pericolose. Comprende il contatto con sostanze cancerogene e mutagene, amianto e gas anestetici.</t>
  </si>
  <si>
    <t>Rischio fisico</t>
  </si>
  <si>
    <t xml:space="preserve">Eventi dannosi per la salute dei lavoratori derivanti da agenti fisici: rumore, ultrasuoni, infrasuoni, vibrazioni, campi elettromagnetici, radiazioni ottiche di origine artificiale, microclima e atmosfera iperbariche. </t>
  </si>
  <si>
    <t>Rischio da atmosfera esplosiva</t>
  </si>
  <si>
    <t>Esplosioni causate da materiali infiammabili o instabili (es. gas, vapori, polveri)</t>
  </si>
  <si>
    <t>Rischio incendio</t>
  </si>
  <si>
    <t xml:space="preserve">Combustione non controllata che si sviluppa senza limitazioni nello spazio e nel tempo dando luogo a calore, fumo, gas e luce. </t>
  </si>
  <si>
    <t>Rischio da infortuni generici</t>
  </si>
  <si>
    <t xml:space="preserve">Ogni evento dannoso per la salute dei lavoratori connesso all’ambiente di lavoro e all’utilizzo di attrezzature (es. urto, schiacciamento, trauma muscolo-scheletrico, ferite da taglio con oggetti sterili, cadute, rischio elettrico). </t>
  </si>
  <si>
    <t>Rischio da movimentazione di carichi e pazienti</t>
  </si>
  <si>
    <t>Ogni evento dannoso per la salute dei lavoratori derivante dalla movimentazione manuale dei carichi e dei pazienti.</t>
  </si>
  <si>
    <t>Rischio radiazioni</t>
  </si>
  <si>
    <t>Ogni evento dannoso per la salute dei lavoratori derivante dall’esposizione a radiazioni ionizzanti e non ionizzanti.</t>
  </si>
  <si>
    <t>Rischio sociale</t>
  </si>
  <si>
    <t>Frequenza e numero di persone soggette ad un certo livello di danno a seguito di uno specifico evento incidentale</t>
  </si>
  <si>
    <t>Rischio stress lavoro correlato</t>
  </si>
  <si>
    <t>Percezione di squilibrio percepita dal lavoratore tra le richieste dell’ambiente lavorativo e le capacità individuali di risposta.</t>
  </si>
  <si>
    <t>Rischio da videoterminale</t>
  </si>
  <si>
    <t>Ogni evento dannoso per la salute dei lavoratori derivante dall’esposizione prolungata ai videoterminali.</t>
  </si>
  <si>
    <r>
      <t>COMPLIANCE</t>
    </r>
    <r>
      <rPr>
        <sz val="9"/>
        <rFont val="Helvetica Now Text"/>
        <family val="2"/>
      </rPr>
      <t xml:space="preserve">
</t>
    </r>
    <r>
      <rPr>
        <sz val="8"/>
        <rFont val="Helvetica Now Text"/>
        <family val="2"/>
      </rPr>
      <t>(Rischi legati a modifiche della legislazione in materia e alla non conformità con le normative applicabili)</t>
    </r>
  </si>
  <si>
    <t>Anticorruzione</t>
  </si>
  <si>
    <t>Violazioni della Legge 190/12.</t>
  </si>
  <si>
    <t>Codice etico</t>
  </si>
  <si>
    <t>Violazione del Codice etico in vigore presso l’Azienda.</t>
  </si>
  <si>
    <t>Inesattezze, errori ed omissioni commessi nelle attività e nei processi di gestione dei contratti, degli appalti e delle controversie legali.</t>
  </si>
  <si>
    <t>Normativa (regionale, nazionale, comunitaria)</t>
  </si>
  <si>
    <t>Violazione di norme imperative di legge previste a livello regionale, nazionale e comunitario, ad eccezione della Legge 190/12 e della normativa privacy e sicurezza delle informazioni.</t>
  </si>
  <si>
    <t>Regolamenti interni</t>
  </si>
  <si>
    <t>Violazione dei regolamenti aziendali.</t>
  </si>
  <si>
    <t>Ogni circostanza di violazione della privacy o sicurezza della documentazione e delle informazioni gestite dalla struttura non riconducibili ad attacchi informatici. Inesattezze, incompletezze od omissioni nel trattamento dei dati.</t>
  </si>
  <si>
    <t>Metriche di valutazione</t>
  </si>
  <si>
    <t>IMPATTO</t>
  </si>
  <si>
    <t>SCALA</t>
  </si>
  <si>
    <t>VALUTAZIONE</t>
  </si>
  <si>
    <t>DESCRIZIONE</t>
  </si>
  <si>
    <t>Immagine e reputazione</t>
  </si>
  <si>
    <t>Compliance normativa</t>
  </si>
  <si>
    <t>Salute e sicurezza</t>
  </si>
  <si>
    <t>Catastrofico</t>
  </si>
  <si>
    <t>L'impatto sugli obiettivi aziendali e sulla gestione comporta una significativa ed estesa revisione delle strategie con un coinvolgimento straordinario di amministratori e del top management</t>
  </si>
  <si>
    <t>- Reputazione danneggiata a livello nazionale e/o internazionale
- Reputazione danneggiata non risolvibile temporalmente
- Notizie sui media nazionali e/o internazionali con esposizione mediatica di lungo periodo</t>
  </si>
  <si>
    <t>- Non ottemperanza di rilevante entità ad obblighi di natura contrattuale/normativa con restrizioni rilevanti per l’azienda (es. commissariamento o sanzioni interdittive che incidono sulla continuità aziendale) 
- Commissione di un reato che prevede la reclusione superiore a 2 anni</t>
  </si>
  <si>
    <t>- Impatto con significativi danni ambientali gravi e persistenti all'esterno del sito
- Superamenti ingenti e sistematici di norme o limiti prescrittivi</t>
  </si>
  <si>
    <t>Personale/popolazione:
- Infortunio mortale multiplo
- Malattia professionale di più persone
- Incidente che ha causato invalidità permanente/morte di una o più persone esterne al sito
Pazienti:
- L'evento comporta il decesso di uno o più pazienti</t>
  </si>
  <si>
    <t>- Impatto sugli obiettivi aziendali
- Gestione richiede coinvolgimento straordinario del top management, degli amministratori ed un utilizzo straordinario di risorse aggiuntive
- Gestione comporta una significativa ed estesa revisione delle strategie
- Non risolvibile entro l’anno</t>
  </si>
  <si>
    <t>Rilevante</t>
  </si>
  <si>
    <t>L'impatto sugli obiettivi aziendali e sulla gestione comporta una contenuta e mirata revisione delle strategie con un coinvolgimento mirato di amministratori e del top management</t>
  </si>
  <si>
    <t>- Reputazione danneggiata a livello nazionale e/o internazionale
- Reputazione danneggiata risolvibile in massimo 1 mese
- Notizie sui media nazionali e/o internazionali con esposizione mediatica di medio periodo</t>
  </si>
  <si>
    <t>- Non ottemperanza di significativa entità ad obblighi di natura contrattuale / normativa con restrizioni significative dell'operatività per l’azienda 
- Sanzioni amministrative /  penali / pecuniarie di significativa entità 
- Commissione di un reato che prevede la reclusione fino a 2 anni</t>
  </si>
  <si>
    <t>- L'impatto ambientale investe ampie aree interne al sito e aree esterne 
- Superamenti quantitativamente importanti e ripetuti di norme o limiti prescrittivi</t>
  </si>
  <si>
    <t>Personale/popolazione:
- Un infortunio con invalidità permanente / un morto
- Un incidente che ha causato lesioni fisiche alla popolazione esterna al sito
Pazienti:
- L'evento comporta l'invalidità permanente o il rischio di morte (es. shock, arresto cardiaco)</t>
  </si>
  <si>
    <t>- Impatto sugli obiettivi aziendali
- Gestione richiede un coinvolgimento notevole del top management, degli amministratori ed un utilizzo massivo di risorse aggiuntive
- Gestione comporta una revisione mirata delle strategie
- Risolvibile entro l’anno</t>
  </si>
  <si>
    <t>Significativo</t>
  </si>
  <si>
    <t>L'impatto sugli obiettivi aziendali e sulla gestione richiede un coinvolgimento del top management significativo per essere risolto</t>
  </si>
  <si>
    <t>- Reputazione danneggiata a livello nazionale
- Reputazione danneggiata  risolvibile in massimo 15 giorni
- Notizie sui media nazionali con esposizione mediatica di breve periodo</t>
  </si>
  <si>
    <t>- Non ottemperanza di media entità ad obblighi di natura contrattuale/normativa 
- Sanzioni amministrative / penali / pecuniarie di modesta entità</t>
  </si>
  <si>
    <t>- L'impatto ambientale investe, oltre ad aree interne al sito, anche aree esterne circostanti
- Superamenti multipli di norme o limiti prescrittivi</t>
  </si>
  <si>
    <t>Personale/popolazione:
- 1 o più infortuni con prognosi superiore a 40 giorni
Pazienti:
- L'evento comporta una invalidità temporanea; prolungamento della degenza &gt; 1 mese</t>
  </si>
  <si>
    <t>- Impatto sugli obiettivi aziendali
- Gestione richiede un coinvolgimento del top management ed utilizzo di risorse aggiuntive
- Risolvibile in un mese</t>
  </si>
  <si>
    <t>Contenuto</t>
  </si>
  <si>
    <t>L'impatto sugli obiettivi aziendali e sulla gestione richiede un impegno del top management per minimizzarlo</t>
  </si>
  <si>
    <t>- Reputazione danneggiata a livello nazionale
- Reputazione danneggiata risolvibile in massimo 7 giorni
- Notizie spot su media nazionali</t>
  </si>
  <si>
    <t>- Non ottemperanza di modesta entità ad obblighi di natura contrattuale/normativa 
- Sanzioni amministrative / penali / pecuniarie di moderata entità</t>
  </si>
  <si>
    <t>- L'impatto ambientale investe trasversalmente il sito nel suo complesso pur rimanendo su area localizzata
- Singolo superamento di norme o limiti prescrittivi</t>
  </si>
  <si>
    <t>Personale/popolazione:
- 1 o più infortuni con prognosi inferiore a 40 giorni
Pazienti:
- L'evento comporta un danno temporaneo; prolungamento della degenza &lt; 1 mese</t>
  </si>
  <si>
    <t>- Impatto sugli obiettivi aziendali
- Gestione richiede limitato impegno del top management e limitato utilizzo di risorse
- Risolvibile in una settimana</t>
  </si>
  <si>
    <t>Trascurabile</t>
  </si>
  <si>
    <t>L'impatto sugli obiettivi aziendali e sulla gestione può essere assorbito attraverso la normale attività</t>
  </si>
  <si>
    <t>- Reputazione danneggiata a livello locale/regionale
- Reputazione danneggiata risolvibile in massimo 3 giorni
- Notizie spot su media locali</t>
  </si>
  <si>
    <t>- Non ottemperanza di lieve entità ad obblighi di natura contrattuale/normativa
- Sanzioni amministrative / penali / pecuniarie di trascurabile entità</t>
  </si>
  <si>
    <t>- Impatto ambientale temporaneo circoscritto a spazi o aree specifiche interne al sito in area non sensibile
- Nessun superamento di norme o limiti prescrittivi</t>
  </si>
  <si>
    <t>Personale/popolazione:
- Lievi infortuni nel corso dello svolgimento delle attività quotidiane
Pazienti:
- L'evento non comporta danni di rilievo; rende necessario un maggior monitoraggio</t>
  </si>
  <si>
    <t>- Impatto sugli obiettivi aziendali
- Gestione assorbita attraverso la normale attività, senza l’utilizzo di ulteriori risorse
- Risolvibile in giornata</t>
  </si>
  <si>
    <t>IMPATTO ECONOMICO</t>
  </si>
  <si>
    <t>CLUSTER A</t>
  </si>
  <si>
    <t>CLUSTER B</t>
  </si>
  <si>
    <t>CLUSTER C</t>
  </si>
  <si>
    <t>ASST</t>
  </si>
  <si>
    <r>
      <t>•</t>
    </r>
    <r>
      <rPr>
        <sz val="10"/>
        <color rgb="FF000000"/>
        <rFont val="Helvetica Now Text"/>
        <family val="2"/>
      </rPr>
      <t>&lt; 0,02% ricavi totali</t>
    </r>
  </si>
  <si>
    <r>
      <t>•</t>
    </r>
    <r>
      <rPr>
        <sz val="10"/>
        <color rgb="FF000000"/>
        <rFont val="Helvetica Now Text"/>
        <family val="2"/>
      </rPr>
      <t>&lt; 0,015% ricavi totali</t>
    </r>
  </si>
  <si>
    <r>
      <t>•</t>
    </r>
    <r>
      <rPr>
        <sz val="10"/>
        <color rgb="FF000000"/>
        <rFont val="Helvetica Now Text"/>
        <family val="2"/>
      </rPr>
      <t>&lt; 0,01% ricavi totali</t>
    </r>
  </si>
  <si>
    <r>
      <t>•</t>
    </r>
    <r>
      <rPr>
        <sz val="10"/>
        <color rgb="FF000000"/>
        <rFont val="Helvetica Now Text"/>
        <family val="2"/>
      </rPr>
      <t xml:space="preserve">0,02-0,25% ricavi totali </t>
    </r>
  </si>
  <si>
    <r>
      <t>•</t>
    </r>
    <r>
      <rPr>
        <sz val="10"/>
        <color rgb="FF000000"/>
        <rFont val="Helvetica Now Text"/>
        <family val="2"/>
      </rPr>
      <t xml:space="preserve">0,015-0,18% ricavi totali </t>
    </r>
  </si>
  <si>
    <r>
      <t>•</t>
    </r>
    <r>
      <rPr>
        <sz val="10"/>
        <color rgb="FF000000"/>
        <rFont val="Helvetica Now Text"/>
        <family val="2"/>
      </rPr>
      <t xml:space="preserve">0,01-0,13% ricavi totali </t>
    </r>
  </si>
  <si>
    <r>
      <t>•</t>
    </r>
    <r>
      <rPr>
        <sz val="10"/>
        <color rgb="FF000000"/>
        <rFont val="Helvetica Now Text"/>
        <family val="2"/>
      </rPr>
      <t>0,25-2,5% ricavi totali</t>
    </r>
  </si>
  <si>
    <r>
      <t>•</t>
    </r>
    <r>
      <rPr>
        <sz val="10"/>
        <color rgb="FF000000"/>
        <rFont val="Helvetica Now Text"/>
        <family val="2"/>
      </rPr>
      <t>0,18-1,8% ricavi totali</t>
    </r>
  </si>
  <si>
    <r>
      <t>•</t>
    </r>
    <r>
      <rPr>
        <sz val="10"/>
        <color rgb="FF000000"/>
        <rFont val="Helvetica Now Text"/>
        <family val="2"/>
      </rPr>
      <t>0,13-1,3% ricavi totali</t>
    </r>
  </si>
  <si>
    <r>
      <t>•</t>
    </r>
    <r>
      <rPr>
        <sz val="10"/>
        <color rgb="FF000000"/>
        <rFont val="Helvetica Now Text"/>
        <family val="2"/>
      </rPr>
      <t>2,5-5% ricavi totali</t>
    </r>
  </si>
  <si>
    <r>
      <t>•</t>
    </r>
    <r>
      <rPr>
        <sz val="10"/>
        <color rgb="FF000000"/>
        <rFont val="Helvetica Now Text"/>
        <family val="2"/>
      </rPr>
      <t>1,8-3,6% ricavi totali</t>
    </r>
  </si>
  <si>
    <r>
      <t>•</t>
    </r>
    <r>
      <rPr>
        <sz val="10"/>
        <color rgb="FF000000"/>
        <rFont val="Helvetica Now Text"/>
        <family val="2"/>
      </rPr>
      <t>1,3-2,6% ricavi totali</t>
    </r>
  </si>
  <si>
    <t>Estremo</t>
  </si>
  <si>
    <r>
      <t>•</t>
    </r>
    <r>
      <rPr>
        <sz val="10"/>
        <color rgb="FF000000"/>
        <rFont val="Helvetica Now Text"/>
        <family val="2"/>
      </rPr>
      <t>&gt;5% ricavi totali</t>
    </r>
  </si>
  <si>
    <r>
      <t>•</t>
    </r>
    <r>
      <rPr>
        <sz val="10"/>
        <color rgb="FF000000"/>
        <rFont val="Helvetica Now Text"/>
        <family val="2"/>
      </rPr>
      <t>&gt;3,6% ricavi totali</t>
    </r>
  </si>
  <si>
    <r>
      <t>•</t>
    </r>
    <r>
      <rPr>
        <sz val="10"/>
        <color rgb="FF000000"/>
        <rFont val="Helvetica Now Text"/>
        <family val="2"/>
      </rPr>
      <t>&gt;2,6% ricavi totali</t>
    </r>
  </si>
  <si>
    <t>ATS</t>
  </si>
  <si>
    <r>
      <t>•</t>
    </r>
    <r>
      <rPr>
        <sz val="10"/>
        <color rgb="FF000000"/>
        <rFont val="Helvetica Now Text"/>
        <family val="2"/>
      </rPr>
      <t>&lt;0,01% ricavi totali</t>
    </r>
  </si>
  <si>
    <r>
      <t>•</t>
    </r>
    <r>
      <rPr>
        <sz val="10"/>
        <color rgb="FF000000"/>
        <rFont val="Helvetica Now Text"/>
        <family val="2"/>
      </rPr>
      <t xml:space="preserve">0,02-0,3% ricavi totali </t>
    </r>
  </si>
  <si>
    <r>
      <t>•</t>
    </r>
    <r>
      <rPr>
        <sz val="10"/>
        <color rgb="FF000000"/>
        <rFont val="Helvetica Now Text"/>
        <family val="2"/>
      </rPr>
      <t>0,01-0,2% ricavi totali</t>
    </r>
  </si>
  <si>
    <r>
      <t>•</t>
    </r>
    <r>
      <rPr>
        <sz val="10"/>
        <color rgb="FF000000"/>
        <rFont val="Helvetica Now Text"/>
        <family val="2"/>
      </rPr>
      <t>0,01-0,15% ricavi totali</t>
    </r>
  </si>
  <si>
    <r>
      <t>•</t>
    </r>
    <r>
      <rPr>
        <sz val="10"/>
        <color rgb="FF000000"/>
        <rFont val="Helvetica Now Text"/>
        <family val="2"/>
      </rPr>
      <t>0,3-3,5% ricavi totali</t>
    </r>
  </si>
  <si>
    <r>
      <t>•</t>
    </r>
    <r>
      <rPr>
        <sz val="10"/>
        <color rgb="FF000000"/>
        <rFont val="Helvetica Now Text"/>
        <family val="2"/>
      </rPr>
      <t>0,2-2% ricavi totali</t>
    </r>
  </si>
  <si>
    <r>
      <t>•</t>
    </r>
    <r>
      <rPr>
        <sz val="10"/>
        <color rgb="FF000000"/>
        <rFont val="Helvetica Now Text"/>
        <family val="2"/>
      </rPr>
      <t>0,15-1% ricavi totali</t>
    </r>
  </si>
  <si>
    <r>
      <t>•</t>
    </r>
    <r>
      <rPr>
        <sz val="10"/>
        <color rgb="FF000000"/>
        <rFont val="Helvetica Now Text"/>
        <family val="2"/>
      </rPr>
      <t>3,5-7% ricavi totali</t>
    </r>
  </si>
  <si>
    <r>
      <t>•</t>
    </r>
    <r>
      <rPr>
        <sz val="10"/>
        <color rgb="FF000000"/>
        <rFont val="Helvetica Now Text"/>
        <family val="2"/>
      </rPr>
      <t>2-4% ricavi totali</t>
    </r>
  </si>
  <si>
    <r>
      <t>•</t>
    </r>
    <r>
      <rPr>
        <sz val="10"/>
        <color rgb="FF000000"/>
        <rFont val="Helvetica Now Text"/>
        <family val="2"/>
      </rPr>
      <t>1-2% ricavi totali</t>
    </r>
  </si>
  <si>
    <r>
      <t>•</t>
    </r>
    <r>
      <rPr>
        <sz val="10"/>
        <color rgb="FF000000"/>
        <rFont val="Helvetica Now Text"/>
        <family val="2"/>
      </rPr>
      <t>&gt;7% ricavi totali</t>
    </r>
  </si>
  <si>
    <r>
      <t>•</t>
    </r>
    <r>
      <rPr>
        <sz val="10"/>
        <color rgb="FF000000"/>
        <rFont val="Helvetica Now Text"/>
        <family val="2"/>
      </rPr>
      <t>&gt;4% ricavi totali</t>
    </r>
  </si>
  <si>
    <r>
      <t>•</t>
    </r>
    <r>
      <rPr>
        <sz val="10"/>
        <color rgb="FF000000"/>
        <rFont val="Helvetica Now Text"/>
        <family val="2"/>
      </rPr>
      <t>&gt;2% ricavi totali</t>
    </r>
  </si>
  <si>
    <t>IRCCS</t>
  </si>
  <si>
    <r>
      <t>•</t>
    </r>
    <r>
      <rPr>
        <sz val="10"/>
        <color rgb="FF000000"/>
        <rFont val="Helvetica Now Text"/>
        <family val="2"/>
      </rPr>
      <t>&lt; 0,03% ricavi totali</t>
    </r>
  </si>
  <si>
    <r>
      <t>•</t>
    </r>
    <r>
      <rPr>
        <sz val="10"/>
        <color rgb="FF000000"/>
        <rFont val="Helvetica Now Text"/>
        <family val="2"/>
      </rPr>
      <t xml:space="preserve">0,03-0,2% ricavi totali </t>
    </r>
  </si>
  <si>
    <r>
      <t>•</t>
    </r>
    <r>
      <rPr>
        <sz val="10"/>
        <color rgb="FF000000"/>
        <rFont val="Helvetica Now Text"/>
        <family val="2"/>
      </rPr>
      <t xml:space="preserve">0,02-0,18% ricavi totali </t>
    </r>
  </si>
  <si>
    <r>
      <t>•</t>
    </r>
    <r>
      <rPr>
        <sz val="10"/>
        <color rgb="FF000000"/>
        <rFont val="Helvetica Now Text"/>
        <family val="2"/>
      </rPr>
      <t xml:space="preserve">0,01-0,1% ricavi totali </t>
    </r>
  </si>
  <si>
    <r>
      <t>•</t>
    </r>
    <r>
      <rPr>
        <sz val="10"/>
        <color rgb="FF000000"/>
        <rFont val="Helvetica Now Text"/>
        <family val="2"/>
      </rPr>
      <t>0,18-1,5% ricavi totali</t>
    </r>
  </si>
  <si>
    <r>
      <t>•</t>
    </r>
    <r>
      <rPr>
        <sz val="10"/>
        <color rgb="FF000000"/>
        <rFont val="Helvetica Now Text"/>
        <family val="2"/>
      </rPr>
      <t>0,1-1,2% ricavi totali</t>
    </r>
  </si>
  <si>
    <r>
      <t>•</t>
    </r>
    <r>
      <rPr>
        <sz val="10"/>
        <color rgb="FF000000"/>
        <rFont val="Helvetica Now Text"/>
        <family val="2"/>
      </rPr>
      <t>1,5-3% ricavi totali</t>
    </r>
  </si>
  <si>
    <r>
      <t>•</t>
    </r>
    <r>
      <rPr>
        <sz val="10"/>
        <color rgb="FF000000"/>
        <rFont val="Helvetica Now Text"/>
        <family val="2"/>
      </rPr>
      <t>1,2-2,4% ricavi totali</t>
    </r>
  </si>
  <si>
    <r>
      <t>•</t>
    </r>
    <r>
      <rPr>
        <sz val="10"/>
        <color rgb="FF000000"/>
        <rFont val="Helvetica Now Text"/>
        <family val="2"/>
      </rPr>
      <t>&gt;3% ricavi totali</t>
    </r>
  </si>
  <si>
    <r>
      <t>•</t>
    </r>
    <r>
      <rPr>
        <sz val="10"/>
        <color rgb="FF000000"/>
        <rFont val="Helvetica Now Text"/>
        <family val="2"/>
      </rPr>
      <t>&gt;2,4% ricavi totali</t>
    </r>
  </si>
  <si>
    <t>PROBABILITA'</t>
  </si>
  <si>
    <t>CONTROLLI</t>
  </si>
  <si>
    <t>INDICE DI PROBABILITA'</t>
  </si>
  <si>
    <t>PROBABILITA' DELL'EVENTO</t>
  </si>
  <si>
    <t>Fattore di riduzione</t>
  </si>
  <si>
    <t>Molto probabile</t>
  </si>
  <si>
    <t xml:space="preserve"> - Probabilità ≥ 50%
- Evento atteso almeno una volta all'anno
- Evento quasi certo
- Si prevede che l’evento possa verificarsi nel breve termine
- L'evento si è verificato negli ultimi mesi</t>
  </si>
  <si>
    <t>Controllo che opera nel suo complesso in modo efficace ed efficiente assicurando il monitoraggio e il contenimento dei rischi</t>
  </si>
  <si>
    <t>Probabile</t>
  </si>
  <si>
    <t>- Probabilità compresa fra il 25% ≤ x ≤ 50% 
- Evento atteso una volta ogni 2/3 anni
- Evento molto verosimile
- Si prevede che l’evento possa verificarsi nel breve / medio termine
- L'evento si è verificato negli ultimi 12 mesi</t>
  </si>
  <si>
    <t>Controllo che opera nel suo complesso in modo efficace ed efficiente ma che presenta circosritte carenze con lieve esposizione al rischio</t>
  </si>
  <si>
    <t>Moderatamente probabile</t>
  </si>
  <si>
    <t>- Probabilità 10% ≤ x ≤ 25% 
- Evento atteso una volta ogni 4/10 anni
- Evento verosimile 
- Si prevede che l’evento possa verificarsi nel medio termine
- L'evento si è verificato negli ultimi 3 anni</t>
  </si>
  <si>
    <t>Controllo con carenze localizzate con esposizione lieve al rischio o per il quale è in essere un intervento correttivo / di mitigazione in fase di conclusione (es. procedura in corso di approvazione)</t>
  </si>
  <si>
    <t>Poco probabile</t>
  </si>
  <si>
    <t>- Probabilità 5% ≤ x ≤ 10% 
 - Evento atteso una volta ogni 10/20 anni
- Evento poco verosimile
- Si prevede che l’evento possa verificarsi nel medio/lungo termine
- L'evento si è verificato negli ultimi 5 anni</t>
  </si>
  <si>
    <t>Controllo che presenta significative carenze e con esposizione elevata al rischio</t>
  </si>
  <si>
    <t>Improbabile</t>
  </si>
  <si>
    <t>- Probabilità ≤ 5%
- Evento atteso una volta ogni 20 anni o di più
- Evento molto poco verosimile
- Si prevede che l'evento possa verificarsi nel lungo termine
- L'evento non si è mai verificato nel passato o si è verificato una sola volta negli ultimi 10 anni</t>
  </si>
  <si>
    <t>Assenza totale di elementi di controllo, o che presenta gravi criticità, con una esposizione alta al rischio</t>
  </si>
  <si>
    <t>Ruolo</t>
  </si>
  <si>
    <t>Short</t>
  </si>
  <si>
    <t>Categoria Rischio</t>
  </si>
  <si>
    <t>Impatto</t>
  </si>
  <si>
    <t>Probabilità</t>
  </si>
  <si>
    <t>Valutazione Controllo</t>
  </si>
  <si>
    <t>Categoria Rischio Liv. 3</t>
  </si>
  <si>
    <t>Ufficio Relazioni con il Pubblico</t>
  </si>
  <si>
    <t>URP</t>
  </si>
  <si>
    <t>Rischio Clinico Sanitario</t>
  </si>
  <si>
    <t>SANIT</t>
  </si>
  <si>
    <t>N.A.</t>
  </si>
  <si>
    <t>Rischio Clinico_Sanitario</t>
  </si>
  <si>
    <t>Bilancio e Rendicontazione</t>
  </si>
  <si>
    <t>BIL</t>
  </si>
  <si>
    <t>Rischio Esterno</t>
  </si>
  <si>
    <t>EST</t>
  </si>
  <si>
    <t>Gestione Acquisti (provveditorato-economato)</t>
  </si>
  <si>
    <t>ACQ</t>
  </si>
  <si>
    <t>FIN</t>
  </si>
  <si>
    <t>Sistemi Informativi Aziendali</t>
  </si>
  <si>
    <t>SIA</t>
  </si>
  <si>
    <t>Rischio Strategico</t>
  </si>
  <si>
    <t>STR</t>
  </si>
  <si>
    <t>Ingegneria Clinica</t>
  </si>
  <si>
    <t>ING</t>
  </si>
  <si>
    <t>OPE</t>
  </si>
  <si>
    <t>Farmacia</t>
  </si>
  <si>
    <t>FAR</t>
  </si>
  <si>
    <t>COMP</t>
  </si>
  <si>
    <t>Ricerca scientifica e sperimentazioni cliniche</t>
  </si>
  <si>
    <t>RIC</t>
  </si>
  <si>
    <t>AFF.GEN</t>
  </si>
  <si>
    <t>Gestione delle Risorse Umane</t>
  </si>
  <si>
    <t>HR</t>
  </si>
  <si>
    <t>Ufficio Tecnico Patrimoniale</t>
  </si>
  <si>
    <t>UFF.TEC</t>
  </si>
  <si>
    <t>Qualità, Risk Management e Internal Auditing</t>
  </si>
  <si>
    <t>QRM</t>
  </si>
  <si>
    <t>Sanità pubblica veterinaria</t>
  </si>
  <si>
    <t>VET</t>
  </si>
  <si>
    <t>SC Unità di Epidemiologia</t>
  </si>
  <si>
    <t>EPIDEM</t>
  </si>
  <si>
    <t>Medicina preventiva di comunità - screening</t>
  </si>
  <si>
    <t>SCREENING</t>
  </si>
  <si>
    <t>Gestione Operativa</t>
  </si>
  <si>
    <t>GEST.OP</t>
  </si>
  <si>
    <t>Dipartimento Igiene e Prevenzione Sanitaria</t>
  </si>
  <si>
    <t>IGIENE</t>
  </si>
  <si>
    <t>Eventi naturali o accidentali</t>
  </si>
  <si>
    <t>Controllo di gestione</t>
  </si>
  <si>
    <t>C.GEST</t>
  </si>
  <si>
    <t>Trasporto STAM/STEN</t>
  </si>
  <si>
    <t>STAM/STEN</t>
  </si>
  <si>
    <t>Gestione parco veicoli</t>
  </si>
  <si>
    <t>VEICOLI</t>
  </si>
  <si>
    <t>Telemedicina</t>
  </si>
  <si>
    <t>TELEM</t>
  </si>
  <si>
    <t>Fisica Sanitaria</t>
  </si>
  <si>
    <t>F.SANIT</t>
  </si>
  <si>
    <t>Gestione del servizio prevenzione e protezione</t>
  </si>
  <si>
    <t>SPP</t>
  </si>
  <si>
    <t>Attività di comunicazione aziendale e relazioni esterne</t>
  </si>
  <si>
    <t>COMUNIC</t>
  </si>
  <si>
    <t>Si veda tabella seguente</t>
  </si>
  <si>
    <t>Salute sicurezza e ambiente</t>
  </si>
  <si>
    <r>
      <rPr>
        <b/>
        <sz val="10"/>
        <color theme="1"/>
        <rFont val="Helvetica Now Text"/>
        <family val="2"/>
      </rPr>
      <t xml:space="preserve">Economiche: </t>
    </r>
    <r>
      <rPr>
        <sz val="10"/>
        <color theme="1"/>
        <rFont val="Helvetica Now Text"/>
        <family val="2"/>
      </rPr>
      <t xml:space="preserve">-
</t>
    </r>
    <r>
      <rPr>
        <b/>
        <sz val="10"/>
        <color theme="1"/>
        <rFont val="Helvetica Now Text"/>
        <family val="2"/>
      </rPr>
      <t>Danno d'immagine</t>
    </r>
    <r>
      <rPr>
        <sz val="10"/>
        <color theme="1"/>
        <rFont val="Helvetica Now Text"/>
        <family val="2"/>
      </rPr>
      <t xml:space="preserve">: -
</t>
    </r>
    <r>
      <rPr>
        <b/>
        <sz val="10"/>
        <color theme="1"/>
        <rFont val="Helvetica Now Text"/>
        <family val="2"/>
      </rPr>
      <t>Compliance Normativa:</t>
    </r>
    <r>
      <rPr>
        <sz val="10"/>
        <color theme="1"/>
        <rFont val="Helvetica Now Text"/>
        <family val="2"/>
      </rPr>
      <t xml:space="preserve"> non ottemperanza ad obblighi di natura normativa
</t>
    </r>
    <r>
      <rPr>
        <b/>
        <sz val="10"/>
        <color theme="1"/>
        <rFont val="Helvetica Now Text"/>
        <family val="2"/>
      </rPr>
      <t xml:space="preserve">Salute e Sicurezza: -
Gestionale - Operativo: </t>
    </r>
    <r>
      <rPr>
        <sz val="10"/>
        <color theme="1"/>
        <rFont val="Helvetica Now Text"/>
        <family val="2"/>
      </rPr>
      <t>Ritardi nelle attività operative per perdita/distruzione dei dati in archivio</t>
    </r>
  </si>
  <si>
    <t>Processi: 
- inefficacia del processo di comunicazione intra-dipartimentale 
- inadeguatezza dell'allocazione di ruoli e responsabilità
- assenza/inadeguata verifica ed approvazione dei contenuti da parte del responsabile di struttura/direzione
Persone: invio volontaria/involontaria dei contenuti anche in assenza di approvazione
Fattori esterni: -
Strumenti: -</t>
  </si>
  <si>
    <t>Economiche: -
Danno d'immagine: Reputazione danneggiata
Compliance Normativa: -
Salute e sicurezza: -
Gestionale - Operativo: -operatizioni di correzione e rettifica</t>
  </si>
  <si>
    <r>
      <t xml:space="preserve">Processi: 
</t>
    </r>
    <r>
      <rPr>
        <sz val="10"/>
        <rFont val="Arial"/>
        <family val="2"/>
      </rPr>
      <t>- assenza di informazioni sull'ubicazione dell'Ufficio URP</t>
    </r>
    <r>
      <rPr>
        <b/>
        <sz val="10"/>
        <rFont val="Arial"/>
        <family val="2"/>
      </rPr>
      <t xml:space="preserve">
Persone: -
Fattori esterni: -
Strumenti: </t>
    </r>
    <r>
      <rPr>
        <sz val="10"/>
        <rFont val="Arial"/>
        <family val="2"/>
      </rPr>
      <t>-collocazione locali non facilmente identificabiili ed accesibili</t>
    </r>
  </si>
  <si>
    <r>
      <rPr>
        <b/>
        <sz val="10"/>
        <rFont val="Arial"/>
        <family val="2"/>
      </rPr>
      <t xml:space="preserve">Economiche:
Danno d'immagine: - </t>
    </r>
    <r>
      <rPr>
        <sz val="10"/>
        <rFont val="Arial"/>
        <family val="2"/>
      </rPr>
      <t xml:space="preserve">Reputazione danneggiata
</t>
    </r>
    <r>
      <rPr>
        <b/>
        <sz val="10"/>
        <rFont val="Arial"/>
        <family val="2"/>
      </rPr>
      <t xml:space="preserve">                                                             
Compliance normativa:</t>
    </r>
    <r>
      <rPr>
        <sz val="10"/>
        <rFont val="Arial"/>
        <family val="2"/>
      </rPr>
      <t xml:space="preserve"> mancata aderenza alla normativa che istituisce l'URP 
</t>
    </r>
    <r>
      <rPr>
        <b/>
        <sz val="10"/>
        <rFont val="Arial"/>
        <family val="2"/>
      </rPr>
      <t xml:space="preserve">
Salute e Sicurezza: </t>
    </r>
    <r>
      <rPr>
        <sz val="10"/>
        <rFont val="Arial"/>
        <family val="2"/>
      </rPr>
      <t xml:space="preserve">lesioni al personale interno all'URP
</t>
    </r>
    <r>
      <rPr>
        <b/>
        <sz val="10"/>
        <rFont val="Arial"/>
        <family val="2"/>
      </rPr>
      <t xml:space="preserve">Gestionale - Operativo: </t>
    </r>
    <r>
      <rPr>
        <sz val="10"/>
        <rFont val="Arial"/>
        <family val="2"/>
      </rPr>
      <t xml:space="preserve">  </t>
    </r>
  </si>
  <si>
    <t>Aggressione verbale e/o fisica verso gli operatori da parte dell'utenza</t>
  </si>
  <si>
    <t xml:space="preserve">Processi: 
Persone: 
 - personale non adeguatamente formato
 - dimenticanze e disattenzione verso il paziente
 - inefficace attività di comunicazione da parte degli operatori
- carenza personale di vigilanza
Fattori esterni: 
 - pregiudizio dell'utenza
'- spazio non adeguato
Strumenti: 
 - insufficienti barriere di protezione a tutela dell'operatore
- strutture locali (assenza vie di fuga e sistemi allerta) allocazione locali         </t>
  </si>
  <si>
    <t>Economiche: 
 - possibili danni ad attrezzature ed arredi
'- extra costi
Danno d'immagine: 
Compliance Normativa: 
Salute e Sicurezza: 
 - infortunio
 - stress lavoro correlato
Gestionale - Operativo: 
 - ritardi/sospensione nell'attività lavorativa</t>
  </si>
  <si>
    <t xml:space="preserve">Errori nell'attività di protocollazione </t>
  </si>
  <si>
    <r>
      <rPr>
        <b/>
        <sz val="10"/>
        <color theme="1"/>
        <rFont val="Arial"/>
        <family val="2"/>
      </rPr>
      <t>Processi:</t>
    </r>
    <r>
      <rPr>
        <sz val="10"/>
        <color theme="1"/>
        <rFont val="Arial"/>
        <family val="2"/>
      </rPr>
      <t xml:space="preserve"> 
- errata/inefficace trattamento dei documenti in uscita con finalità giuridico-probatorie
- assenza/inefficacia del processo di gestione e trattamento dei documenti in uscita
- inefficienza del processo di controllo della codifica corretta del documento
- inefficacia del processo di verifica della corretta conservazione del documento nell'albo pretorio
</t>
    </r>
    <r>
      <rPr>
        <b/>
        <sz val="10"/>
        <color theme="1"/>
        <rFont val="Arial"/>
        <family val="2"/>
      </rPr>
      <t>Persone:</t>
    </r>
    <r>
      <rPr>
        <sz val="10"/>
        <color theme="1"/>
        <rFont val="Arial"/>
        <family val="2"/>
      </rPr>
      <t xml:space="preserve"> 
- errore nell'assegnazione del protocollo
- errore umano
</t>
    </r>
    <r>
      <rPr>
        <b/>
        <sz val="10"/>
        <color theme="1"/>
        <rFont val="Arial"/>
        <family val="2"/>
      </rPr>
      <t xml:space="preserve">Fattori esterni: -
Strumenti: 
- </t>
    </r>
    <r>
      <rPr>
        <sz val="10"/>
        <color theme="1"/>
        <rFont val="Arial"/>
        <family val="2"/>
      </rPr>
      <t>inaffidabilità dei supporti informatici
- blocco dei sistemi IT</t>
    </r>
  </si>
  <si>
    <r>
      <rPr>
        <b/>
        <sz val="10"/>
        <color theme="1"/>
        <rFont val="Arial"/>
        <family val="2"/>
      </rPr>
      <t xml:space="preserve">Economiche: </t>
    </r>
    <r>
      <rPr>
        <sz val="10"/>
        <color theme="1"/>
        <rFont val="Arial"/>
        <family val="2"/>
      </rPr>
      <t xml:space="preserve">- perdita di uno strumento di prevenzione del contenzioso; extra costo per spese di giudizio
</t>
    </r>
    <r>
      <rPr>
        <b/>
        <sz val="10"/>
        <color theme="1"/>
        <rFont val="Arial"/>
        <family val="2"/>
      </rPr>
      <t>Danno d'immagine</t>
    </r>
    <r>
      <rPr>
        <sz val="10"/>
        <color theme="1"/>
        <rFont val="Arial"/>
        <family val="2"/>
      </rPr>
      <t xml:space="preserve">: - Reputazione danneggiata
</t>
    </r>
    <r>
      <rPr>
        <b/>
        <sz val="10"/>
        <color theme="1"/>
        <rFont val="Arial"/>
        <family val="2"/>
      </rPr>
      <t>Compliance Normativa:</t>
    </r>
    <r>
      <rPr>
        <sz val="10"/>
        <color theme="1"/>
        <rFont val="Arial"/>
        <family val="2"/>
      </rPr>
      <t xml:space="preserve"> non ottemperanza ad obblighi di natura normativa
</t>
    </r>
    <r>
      <rPr>
        <b/>
        <sz val="10"/>
        <color theme="1"/>
        <rFont val="Arial"/>
        <family val="2"/>
      </rPr>
      <t>Salute e Sicurezza: -
Gestionale - Operativo: -</t>
    </r>
    <r>
      <rPr>
        <sz val="10"/>
        <color theme="1"/>
        <rFont val="Arial"/>
        <family val="2"/>
      </rPr>
      <t xml:space="preserve">  - ritardi sull'operatività aziendale; sovraccarico di lavoro</t>
    </r>
  </si>
  <si>
    <t>PAC</t>
  </si>
  <si>
    <t>RISK ASSESSMENT ASST Della Brianza</t>
  </si>
  <si>
    <t>Pocesso/Short</t>
  </si>
  <si>
    <t>Rischio Clinico Sanitario1</t>
  </si>
  <si>
    <t>Rischio Esterno1</t>
  </si>
  <si>
    <t>Rischio Finanziario1</t>
  </si>
  <si>
    <t>Rischio Strategico1</t>
  </si>
  <si>
    <t>Rischio di Compliance1</t>
  </si>
  <si>
    <t>Rischio Operativo1</t>
  </si>
  <si>
    <t>TABELLA RISCHIO SECONDO MODELLO HERM (MO 3330)</t>
  </si>
  <si>
    <t>rev 0 del 20/05/2026</t>
  </si>
  <si>
    <t xml:space="preserve">QD_ENT_20265_3330 </t>
  </si>
  <si>
    <r>
      <rPr>
        <b/>
        <sz val="10"/>
        <color theme="1"/>
        <rFont val="Helvetica Now Text"/>
        <family val="2"/>
      </rPr>
      <t>Processi:</t>
    </r>
    <r>
      <rPr>
        <sz val="10"/>
        <color theme="1"/>
        <rFont val="Helvetica Now Text"/>
        <family val="2"/>
      </rPr>
      <t xml:space="preserve"> 
</t>
    </r>
    <r>
      <rPr>
        <b/>
        <sz val="10"/>
        <color theme="1"/>
        <rFont val="Helvetica Now Text"/>
        <family val="2"/>
      </rPr>
      <t xml:space="preserve">Persone: </t>
    </r>
    <r>
      <rPr>
        <b/>
        <sz val="10"/>
        <color theme="1"/>
        <rFont val="Helvetica Now Text"/>
        <family val="2"/>
      </rPr>
      <t xml:space="preserve">
Fattori esterni: -
Strumenti:</t>
    </r>
    <r>
      <rPr>
        <sz val="10"/>
        <color theme="1"/>
        <rFont val="Helvetica Now Text"/>
        <family val="2"/>
      </rPr>
      <t xml:space="preserve"> </t>
    </r>
  </si>
  <si>
    <r>
      <rPr>
        <b/>
        <sz val="10"/>
        <color theme="1"/>
        <rFont val="Helvetica Now Text"/>
        <family val="2"/>
      </rPr>
      <t>Processi:</t>
    </r>
    <r>
      <rPr>
        <sz val="10"/>
        <color theme="1"/>
        <rFont val="Helvetica Now Text"/>
        <family val="2"/>
      </rPr>
      <t xml:space="preserve"> 
</t>
    </r>
    <r>
      <rPr>
        <b/>
        <sz val="10"/>
        <color theme="1"/>
        <rFont val="Helvetica Now Text"/>
        <family val="2"/>
      </rPr>
      <t xml:space="preserve">Persone: </t>
    </r>
    <r>
      <rPr>
        <sz val="10"/>
        <color theme="1"/>
        <rFont val="Helvetica Now Text"/>
        <family val="2"/>
      </rPr>
      <t xml:space="preserve">
</t>
    </r>
    <r>
      <rPr>
        <b/>
        <sz val="10"/>
        <color theme="1"/>
        <rFont val="Helvetica Now Text"/>
        <family val="2"/>
      </rPr>
      <t>Fattori esterni:</t>
    </r>
    <r>
      <rPr>
        <sz val="10"/>
        <color theme="1"/>
        <rFont val="Helvetica Now Text"/>
        <family val="2"/>
      </rPr>
      <t xml:space="preserve"> 
</t>
    </r>
    <r>
      <rPr>
        <b/>
        <sz val="10"/>
        <color theme="1"/>
        <rFont val="Helvetica Now Text"/>
        <family val="2"/>
      </rPr>
      <t>Strumenti:</t>
    </r>
    <r>
      <rPr>
        <sz val="10"/>
        <color theme="1"/>
        <rFont val="Helvetica Now Text"/>
        <family val="2"/>
      </rPr>
      <t xml:space="preserve"> </t>
    </r>
  </si>
  <si>
    <t>5C11:M13C11:M12C11:L12C11:N12K7C11:M11C11:P13C11:S13K7C11:AA13</t>
  </si>
  <si>
    <r>
      <rPr>
        <b/>
        <sz val="10"/>
        <color theme="1"/>
        <rFont val="Helvetica Now Text"/>
        <family val="2"/>
      </rPr>
      <t>Processi:</t>
    </r>
    <r>
      <rPr>
        <sz val="10"/>
        <color theme="1"/>
        <rFont val="Helvetica Now Text"/>
        <family val="2"/>
      </rPr>
      <t xml:space="preserve"> 
</t>
    </r>
    <r>
      <rPr>
        <b/>
        <sz val="10"/>
        <color theme="1"/>
        <rFont val="Helvetica Now Text"/>
        <family val="2"/>
      </rPr>
      <t xml:space="preserve">Persone: </t>
    </r>
    <r>
      <rPr>
        <sz val="10"/>
        <color theme="1"/>
        <rFont val="Helvetica Now Text"/>
        <family val="2"/>
      </rPr>
      <t xml:space="preserve">
</t>
    </r>
    <r>
      <rPr>
        <b/>
        <sz val="10"/>
        <color theme="1"/>
        <rFont val="Helvetica Now Text"/>
        <family val="2"/>
      </rPr>
      <t>Fattori esterni:</t>
    </r>
    <r>
      <rPr>
        <sz val="10"/>
        <color theme="1"/>
        <rFont val="Helvetica Now Text"/>
        <family val="2"/>
      </rPr>
      <t xml:space="preserve">
</t>
    </r>
    <r>
      <rPr>
        <b/>
        <sz val="10"/>
        <color theme="1"/>
        <rFont val="Helvetica Now Text"/>
        <family val="2"/>
      </rPr>
      <t xml:space="preserve">Strumenti: </t>
    </r>
  </si>
  <si>
    <r>
      <rPr>
        <b/>
        <sz val="10"/>
        <color theme="1"/>
        <rFont val="Helvetica Now Text"/>
        <family val="2"/>
      </rPr>
      <t>Processi:</t>
    </r>
    <r>
      <rPr>
        <sz val="10"/>
        <color theme="1"/>
        <rFont val="Helvetica Now Text"/>
        <family val="2"/>
      </rPr>
      <t xml:space="preserve"> 
</t>
    </r>
    <r>
      <rPr>
        <b/>
        <sz val="10"/>
        <color theme="1"/>
        <rFont val="Helvetica Now Text"/>
        <family val="2"/>
      </rPr>
      <t>Persone:</t>
    </r>
    <r>
      <rPr>
        <sz val="10"/>
        <color theme="1"/>
        <rFont val="Helvetica Now Text"/>
        <family val="2"/>
      </rPr>
      <t xml:space="preserve">
</t>
    </r>
    <r>
      <rPr>
        <b/>
        <sz val="10"/>
        <color theme="1"/>
        <rFont val="Helvetica Now Text"/>
        <family val="2"/>
      </rPr>
      <t>Fattori esterni: -
Strumenti:</t>
    </r>
    <r>
      <rPr>
        <sz val="10"/>
        <color theme="1"/>
        <rFont val="Helvetica Now Text"/>
        <family val="2"/>
      </rPr>
      <t xml:space="preserve"> </t>
    </r>
  </si>
  <si>
    <r>
      <rPr>
        <b/>
        <sz val="10"/>
        <color theme="1"/>
        <rFont val="Helvetica Now Text"/>
        <family val="2"/>
      </rPr>
      <t>Processi:</t>
    </r>
    <r>
      <rPr>
        <sz val="10"/>
        <color theme="1"/>
        <rFont val="Helvetica Now Text"/>
        <family val="2"/>
      </rPr>
      <t xml:space="preserve"> 
</t>
    </r>
    <r>
      <rPr>
        <b/>
        <sz val="10"/>
        <color theme="1"/>
        <rFont val="Helvetica Now Text"/>
        <family val="2"/>
      </rPr>
      <t xml:space="preserve">Persone: </t>
    </r>
    <r>
      <rPr>
        <sz val="10"/>
        <color theme="1"/>
        <rFont val="Helvetica Now Text"/>
        <family val="2"/>
      </rPr>
      <t xml:space="preserve">
</t>
    </r>
    <r>
      <rPr>
        <b/>
        <sz val="10"/>
        <color theme="1"/>
        <rFont val="Helvetica Now Text"/>
        <family val="2"/>
      </rPr>
      <t>Fattori esterni:</t>
    </r>
    <r>
      <rPr>
        <sz val="10"/>
        <color theme="1"/>
        <rFont val="Helvetica Now Text"/>
        <family val="2"/>
      </rPr>
      <t xml:space="preserve"> 
</t>
    </r>
    <r>
      <rPr>
        <b/>
        <sz val="10"/>
        <color theme="1"/>
        <rFont val="Helvetica Now Text"/>
        <family val="2"/>
      </rPr>
      <t>Strumenti:</t>
    </r>
    <r>
      <rPr>
        <sz val="10"/>
        <color theme="1"/>
        <rFont val="Helvetica Now Text"/>
        <family val="2"/>
      </rPr>
      <t xml:space="preserve"> </t>
    </r>
  </si>
  <si>
    <r>
      <rPr>
        <b/>
        <sz val="10"/>
        <color theme="1"/>
        <rFont val="Helvetica Now Text"/>
        <family val="2"/>
      </rPr>
      <t>Economiche:</t>
    </r>
    <r>
      <rPr>
        <sz val="10"/>
        <color theme="1"/>
        <rFont val="Helvetica Now Text"/>
        <family val="2"/>
      </rPr>
      <t xml:space="preserve"> -
</t>
    </r>
    <r>
      <rPr>
        <b/>
        <sz val="10"/>
        <color theme="1"/>
        <rFont val="Helvetica Now Text"/>
        <family val="2"/>
      </rPr>
      <t xml:space="preserve">Danno d'immagine: </t>
    </r>
    <r>
      <rPr>
        <b/>
        <sz val="10"/>
        <color theme="1"/>
        <rFont val="Helvetica Now Text"/>
        <family val="2"/>
      </rPr>
      <t xml:space="preserve">
Compliance Normativa: -
Salute e sicurezza: -
Gestionale - Operativo:</t>
    </r>
    <r>
      <rPr>
        <sz val="10"/>
        <color theme="1"/>
        <rFont val="Helvetica Now Text"/>
        <family val="2"/>
      </rPr>
      <t xml:space="preserve"> -</t>
    </r>
  </si>
  <si>
    <r>
      <rPr>
        <b/>
        <sz val="10"/>
        <color theme="1"/>
        <rFont val="Helvetica Now Text"/>
        <family val="2"/>
      </rPr>
      <t>Economiche:</t>
    </r>
    <r>
      <rPr>
        <sz val="10"/>
        <color theme="1"/>
        <rFont val="Helvetica Now Text"/>
        <family val="2"/>
      </rPr>
      <t xml:space="preserve"> -
</t>
    </r>
    <r>
      <rPr>
        <b/>
        <sz val="10"/>
        <color theme="1"/>
        <rFont val="Helvetica Now Text"/>
        <family val="2"/>
      </rPr>
      <t xml:space="preserve">Danno d'immagine: </t>
    </r>
    <r>
      <rPr>
        <b/>
        <sz val="10"/>
        <color theme="1"/>
        <rFont val="Helvetica Now Text"/>
        <family val="2"/>
      </rPr>
      <t xml:space="preserve">
Compliance Normativa: -
Salute e sicurezza: -
Gestionale - Operativo:</t>
    </r>
    <r>
      <rPr>
        <sz val="10"/>
        <color theme="1"/>
        <rFont val="Helvetica Now Text"/>
        <family val="2"/>
      </rPr>
      <t xml:space="preserve"> -</t>
    </r>
  </si>
  <si>
    <r>
      <rPr>
        <b/>
        <sz val="10"/>
        <color theme="1"/>
        <rFont val="Helvetica Now Text"/>
        <family val="2"/>
      </rPr>
      <t xml:space="preserve">Economiche: </t>
    </r>
    <r>
      <rPr>
        <b/>
        <sz val="10"/>
        <color theme="1"/>
        <rFont val="Helvetica Now Text"/>
        <family val="2"/>
      </rPr>
      <t xml:space="preserve">
Danno d'immagine: </t>
    </r>
    <r>
      <rPr>
        <sz val="10"/>
        <color theme="1"/>
        <rFont val="Helvetica Now Text"/>
        <family val="2"/>
      </rPr>
      <t xml:space="preserve">
</t>
    </r>
    <r>
      <rPr>
        <b/>
        <sz val="10"/>
        <color theme="1"/>
        <rFont val="Helvetica Now Text"/>
        <family val="2"/>
      </rPr>
      <t xml:space="preserve">Compliance Normativa: </t>
    </r>
    <r>
      <rPr>
        <b/>
        <sz val="10"/>
        <color theme="1"/>
        <rFont val="Helvetica Now Text"/>
        <family val="2"/>
      </rPr>
      <t xml:space="preserve">
Salute e Sicurezza: -
Gestionale - Operativo:</t>
    </r>
    <r>
      <rPr>
        <sz val="10"/>
        <color theme="1"/>
        <rFont val="Helvetica Now Text"/>
        <family val="2"/>
      </rPr>
      <t xml:space="preserve"> -</t>
    </r>
  </si>
  <si>
    <r>
      <rPr>
        <b/>
        <sz val="10"/>
        <color theme="1"/>
        <rFont val="Helvetica Now Text"/>
        <family val="2"/>
      </rPr>
      <t xml:space="preserve">Economiche: </t>
    </r>
    <r>
      <rPr>
        <sz val="10"/>
        <color theme="1"/>
        <rFont val="Helvetica Now Text"/>
        <family val="2"/>
      </rPr>
      <t xml:space="preserve">-
</t>
    </r>
    <r>
      <rPr>
        <b/>
        <sz val="10"/>
        <color theme="1"/>
        <rFont val="Helvetica Now Text"/>
        <family val="2"/>
      </rPr>
      <t>Danno d'immagine</t>
    </r>
    <r>
      <rPr>
        <sz val="10"/>
        <color theme="1"/>
        <rFont val="Helvetica Now Text"/>
        <family val="2"/>
      </rPr>
      <t xml:space="preserve">: -
</t>
    </r>
    <r>
      <rPr>
        <b/>
        <sz val="10"/>
        <color theme="1"/>
        <rFont val="Helvetica Now Text"/>
        <family val="2"/>
      </rPr>
      <t>Compliance Normativa:</t>
    </r>
    <r>
      <rPr>
        <sz val="10"/>
        <color theme="1"/>
        <rFont val="Helvetica Now Text"/>
        <family val="2"/>
      </rPr>
      <t xml:space="preserve"> 
</t>
    </r>
    <r>
      <rPr>
        <b/>
        <sz val="10"/>
        <color theme="1"/>
        <rFont val="Helvetica Now Text"/>
        <family val="2"/>
      </rPr>
      <t xml:space="preserve">Salute e Sicurezza: -
Gestionale - Operativo: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</si>
</sst>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Helvetica Now Text"/>
      <family val="2"/>
    </font>
    <font>
      <sz val="10"/>
      <name val="Helvetica Now Text"/>
      <family val="2"/>
    </font>
    <font>
      <u/>
      <sz val="11"/>
      <color theme="10"/>
      <name val="Calibri"/>
      <family val="2"/>
      <scheme val="minor"/>
    </font>
    <font>
      <b/>
      <sz val="22"/>
      <color rgb="FF00B050"/>
      <name val="Helvetica Now Text"/>
      <family val="2"/>
    </font>
    <font>
      <b/>
      <sz val="20"/>
      <color rgb="FF00B050"/>
      <name val="Helvetica Now Text"/>
      <family val="2"/>
    </font>
    <font>
      <b/>
      <sz val="10"/>
      <color theme="0"/>
      <name val="Helvetica Now Text"/>
      <family val="2"/>
    </font>
    <font>
      <sz val="11"/>
      <color theme="1"/>
      <name val="Helvetica Now Text"/>
      <family val="2"/>
    </font>
    <font>
      <sz val="10"/>
      <color theme="1"/>
      <name val="Arial"/>
      <family val="2"/>
    </font>
    <font>
      <b/>
      <sz val="18"/>
      <color rgb="FF00B050"/>
      <name val="Helvetica Now Text"/>
      <family val="2"/>
    </font>
    <font>
      <sz val="10"/>
      <name val="Arial"/>
      <family val="2"/>
    </font>
    <font>
      <b/>
      <sz val="14"/>
      <color theme="3"/>
      <name val="Helvetica Now Text"/>
      <family val="2"/>
    </font>
    <font>
      <b/>
      <sz val="16"/>
      <color theme="3"/>
      <name val="Helvetica Now Text"/>
      <family val="2"/>
    </font>
    <font>
      <sz val="11"/>
      <color theme="3"/>
      <name val="Helvetica Now Text"/>
      <family val="2"/>
    </font>
    <font>
      <b/>
      <sz val="14"/>
      <color rgb="FF00B050"/>
      <name val="Helvetica Now Text"/>
      <family val="2"/>
    </font>
    <font>
      <u/>
      <sz val="10"/>
      <color indexed="12"/>
      <name val="Arial"/>
      <family val="2"/>
    </font>
    <font>
      <b/>
      <sz val="12"/>
      <name val="Helvetica Now Text"/>
      <family val="2"/>
    </font>
    <font>
      <sz val="10"/>
      <color theme="3"/>
      <name val="Helvetica Now Text"/>
      <family val="2"/>
    </font>
    <font>
      <sz val="11"/>
      <name val="Helvetica Now Text"/>
      <family val="2"/>
    </font>
    <font>
      <sz val="14"/>
      <color rgb="FF003399"/>
      <name val="Helvetica Now Text"/>
      <family val="2"/>
    </font>
    <font>
      <b/>
      <sz val="14"/>
      <color rgb="FF003399"/>
      <name val="Helvetica Now Text"/>
      <family val="2"/>
    </font>
    <font>
      <sz val="14"/>
      <color theme="1"/>
      <name val="Helvetica Now Text"/>
      <family val="2"/>
    </font>
    <font>
      <sz val="14"/>
      <color rgb="FFFF0000"/>
      <name val="Helvetica Now Text"/>
      <family val="2"/>
    </font>
    <font>
      <b/>
      <sz val="14"/>
      <color rgb="FFFF0000"/>
      <name val="Helvetica Now Text"/>
      <family val="2"/>
    </font>
    <font>
      <b/>
      <sz val="11"/>
      <color theme="0"/>
      <name val="Helvetica Now Text"/>
      <family val="2"/>
    </font>
    <font>
      <b/>
      <sz val="11"/>
      <name val="Helvetica Now Text"/>
      <family val="2"/>
    </font>
    <font>
      <sz val="8"/>
      <name val="Helvetica Now Text"/>
      <family val="2"/>
    </font>
    <font>
      <b/>
      <sz val="9"/>
      <color rgb="FF000000"/>
      <name val="Helvetica Now Text"/>
      <family val="2"/>
    </font>
    <font>
      <b/>
      <sz val="9"/>
      <name val="Helvetica Now Text"/>
      <family val="2"/>
    </font>
    <font>
      <sz val="8"/>
      <color rgb="FF000000"/>
      <name val="Helvetica Now Text"/>
      <family val="2"/>
    </font>
    <font>
      <sz val="9"/>
      <name val="Helvetica Now Text"/>
      <family val="2"/>
    </font>
    <font>
      <b/>
      <sz val="10"/>
      <color indexed="9"/>
      <name val="Helvetica Now Text"/>
      <family val="2"/>
    </font>
    <font>
      <b/>
      <sz val="10"/>
      <name val="Helvetica Now Text"/>
      <family val="2"/>
    </font>
    <font>
      <b/>
      <sz val="10"/>
      <color theme="1"/>
      <name val="Helvetica Now Text"/>
      <family val="2"/>
    </font>
    <font>
      <b/>
      <sz val="10"/>
      <color rgb="FFFFFFFF"/>
      <name val="Helvetica Now Text"/>
      <family val="2"/>
    </font>
    <font>
      <b/>
      <sz val="10"/>
      <color rgb="FF0D0D0D"/>
      <name val="Helvetica Now Text"/>
      <family val="2"/>
    </font>
    <font>
      <sz val="10"/>
      <color rgb="FF000000"/>
      <name val="Helvetica Now Text"/>
      <family val="2"/>
    </font>
    <font>
      <sz val="10"/>
      <color rgb="FF0D0D0D"/>
      <name val="Helvetica Now Text"/>
      <family val="2"/>
    </font>
    <font>
      <sz val="10"/>
      <color indexed="9"/>
      <name val="Helvetica Now Text"/>
      <family val="2"/>
    </font>
    <font>
      <b/>
      <sz val="10"/>
      <color rgb="FF000000"/>
      <name val="Helvetica Now Text"/>
      <family val="2"/>
    </font>
    <font>
      <sz val="9"/>
      <color rgb="FF000000"/>
      <name val="Helvetica Now Text"/>
      <family val="2"/>
    </font>
    <font>
      <b/>
      <sz val="11"/>
      <color theme="1"/>
      <name val="Helvetica Now Text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42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63BE7B"/>
        <bgColor indexed="64"/>
      </patternFill>
    </fill>
    <fill>
      <patternFill patternType="solid">
        <fgColor rgb="FF97CD7E"/>
        <bgColor indexed="64"/>
      </patternFill>
    </fill>
    <fill>
      <patternFill patternType="solid">
        <fgColor rgb="FFFFEB84"/>
        <bgColor indexed="64"/>
      </patternFill>
    </fill>
    <fill>
      <patternFill patternType="solid">
        <fgColor rgb="FFFDB87B"/>
        <bgColor indexed="64"/>
      </patternFill>
    </fill>
    <fill>
      <patternFill patternType="solid">
        <fgColor rgb="FFF8696B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9" fillId="0" borderId="0"/>
    <xf numFmtId="0" fontId="11" fillId="0" borderId="0"/>
    <xf numFmtId="0" fontId="16" fillId="0" borderId="0" applyNumberFormat="0" applyFill="0" applyBorder="0" applyAlignment="0" applyProtection="0">
      <alignment vertical="top"/>
      <protection locked="0"/>
    </xf>
    <xf numFmtId="0" fontId="11" fillId="0" borderId="0"/>
    <xf numFmtId="0" fontId="1" fillId="0" borderId="0"/>
    <xf numFmtId="0" fontId="11" fillId="0" borderId="0"/>
  </cellStyleXfs>
  <cellXfs count="224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7" fillId="2" borderId="3" xfId="0" applyFont="1" applyFill="1" applyBorder="1" applyAlignment="1">
      <alignment vertical="center" wrapText="1"/>
    </xf>
    <xf numFmtId="0" fontId="7" fillId="2" borderId="4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8" fillId="6" borderId="0" xfId="0" applyFont="1" applyFill="1"/>
    <xf numFmtId="0" fontId="12" fillId="7" borderId="0" xfId="4" applyFont="1" applyFill="1" applyAlignment="1" applyProtection="1">
      <alignment vertical="center"/>
      <protection locked="0"/>
    </xf>
    <xf numFmtId="0" fontId="13" fillId="7" borderId="0" xfId="4" applyFont="1" applyFill="1" applyAlignment="1" applyProtection="1">
      <alignment vertical="top"/>
      <protection locked="0"/>
    </xf>
    <xf numFmtId="0" fontId="14" fillId="6" borderId="0" xfId="0" applyFont="1" applyFill="1"/>
    <xf numFmtId="0" fontId="17" fillId="6" borderId="0" xfId="5" applyFont="1" applyFill="1" applyAlignment="1" applyProtection="1"/>
    <xf numFmtId="0" fontId="17" fillId="6" borderId="0" xfId="3" applyFont="1" applyFill="1"/>
    <xf numFmtId="0" fontId="18" fillId="6" borderId="0" xfId="3" applyFont="1" applyFill="1"/>
    <xf numFmtId="0" fontId="2" fillId="6" borderId="0" xfId="3" applyFont="1" applyFill="1"/>
    <xf numFmtId="0" fontId="2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0" fontId="3" fillId="0" borderId="6" xfId="0" quotePrefix="1" applyFont="1" applyBorder="1" applyAlignment="1">
      <alignment vertical="center" wrapText="1"/>
    </xf>
    <xf numFmtId="0" fontId="19" fillId="0" borderId="6" xfId="0" quotePrefix="1" applyFont="1" applyBorder="1" applyAlignment="1">
      <alignment vertical="center" wrapText="1"/>
    </xf>
    <xf numFmtId="0" fontId="3" fillId="0" borderId="6" xfId="0" quotePrefix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wrapText="1"/>
    </xf>
    <xf numFmtId="0" fontId="2" fillId="0" borderId="6" xfId="0" quotePrefix="1" applyFont="1" applyBorder="1" applyAlignment="1">
      <alignment horizontal="left" vertical="center" wrapText="1"/>
    </xf>
    <xf numFmtId="0" fontId="3" fillId="8" borderId="6" xfId="0" quotePrefix="1" applyFont="1" applyFill="1" applyBorder="1" applyAlignment="1">
      <alignment horizontal="center" vertical="center" wrapText="1"/>
    </xf>
    <xf numFmtId="2" fontId="3" fillId="8" borderId="6" xfId="0" applyNumberFormat="1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8" fillId="0" borderId="0" xfId="0" applyFont="1"/>
    <xf numFmtId="0" fontId="5" fillId="0" borderId="0" xfId="2" applyFont="1" applyAlignment="1">
      <alignment horizontal="left" vertical="center"/>
    </xf>
    <xf numFmtId="0" fontId="20" fillId="9" borderId="0" xfId="0" applyFont="1" applyFill="1" applyAlignment="1">
      <alignment horizontal="left" vertical="center" wrapText="1"/>
    </xf>
    <xf numFmtId="0" fontId="20" fillId="9" borderId="0" xfId="0" applyFont="1" applyFill="1"/>
    <xf numFmtId="0" fontId="21" fillId="9" borderId="0" xfId="0" applyFont="1" applyFill="1" applyAlignment="1">
      <alignment horizontal="left" vertical="center"/>
    </xf>
    <xf numFmtId="0" fontId="20" fillId="10" borderId="0" xfId="0" applyFont="1" applyFill="1" applyAlignment="1">
      <alignment horizontal="left" vertical="center" wrapText="1"/>
    </xf>
    <xf numFmtId="0" fontId="22" fillId="6" borderId="0" xfId="0" applyFont="1" applyFill="1"/>
    <xf numFmtId="0" fontId="22" fillId="0" borderId="0" xfId="0" applyFont="1"/>
    <xf numFmtId="0" fontId="23" fillId="9" borderId="0" xfId="0" applyFont="1" applyFill="1"/>
    <xf numFmtId="0" fontId="23" fillId="9" borderId="0" xfId="0" applyFont="1" applyFill="1" applyAlignment="1">
      <alignment horizontal="left" vertical="center" wrapText="1"/>
    </xf>
    <xf numFmtId="0" fontId="24" fillId="9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25" fillId="3" borderId="13" xfId="0" applyFont="1" applyFill="1" applyBorder="1" applyAlignment="1">
      <alignment horizontal="center" vertical="center"/>
    </xf>
    <xf numFmtId="0" fontId="25" fillId="3" borderId="6" xfId="0" applyFont="1" applyFill="1" applyBorder="1" applyAlignment="1">
      <alignment horizontal="center" vertical="center"/>
    </xf>
    <xf numFmtId="0" fontId="25" fillId="3" borderId="6" xfId="0" applyFont="1" applyFill="1" applyBorder="1" applyAlignment="1">
      <alignment horizontal="center" vertical="center" wrapText="1"/>
    </xf>
    <xf numFmtId="0" fontId="25" fillId="3" borderId="14" xfId="0" applyFont="1" applyFill="1" applyBorder="1" applyAlignment="1">
      <alignment horizontal="center" vertical="center"/>
    </xf>
    <xf numFmtId="0" fontId="28" fillId="0" borderId="6" xfId="0" applyFont="1" applyBorder="1" applyAlignment="1">
      <alignment horizontal="center" vertical="center" wrapText="1"/>
    </xf>
    <xf numFmtId="0" fontId="27" fillId="0" borderId="6" xfId="0" applyFont="1" applyBorder="1" applyAlignment="1">
      <alignment vertical="center" wrapText="1"/>
    </xf>
    <xf numFmtId="0" fontId="25" fillId="0" borderId="16" xfId="0" applyFont="1" applyBorder="1" applyAlignment="1">
      <alignment horizontal="center" vertical="center" wrapText="1"/>
    </xf>
    <xf numFmtId="0" fontId="29" fillId="0" borderId="17" xfId="0" applyFont="1" applyBorder="1" applyAlignment="1">
      <alignment horizontal="center" vertical="center" wrapText="1"/>
    </xf>
    <xf numFmtId="0" fontId="27" fillId="0" borderId="17" xfId="0" applyFont="1" applyBorder="1" applyAlignment="1">
      <alignment vertical="center" wrapText="1"/>
    </xf>
    <xf numFmtId="0" fontId="29" fillId="0" borderId="16" xfId="0" applyFont="1" applyBorder="1" applyAlignment="1">
      <alignment horizontal="center" vertical="center" wrapText="1"/>
    </xf>
    <xf numFmtId="0" fontId="0" fillId="0" borderId="16" xfId="0" applyBorder="1"/>
    <xf numFmtId="0" fontId="29" fillId="0" borderId="6" xfId="0" applyFont="1" applyBorder="1" applyAlignment="1">
      <alignment horizontal="center" vertical="center" wrapText="1"/>
    </xf>
    <xf numFmtId="0" fontId="0" fillId="0" borderId="17" xfId="0" applyBorder="1"/>
    <xf numFmtId="0" fontId="28" fillId="0" borderId="16" xfId="0" applyFont="1" applyBorder="1" applyAlignment="1">
      <alignment horizontal="center" vertical="center" wrapText="1"/>
    </xf>
    <xf numFmtId="0" fontId="28" fillId="0" borderId="17" xfId="0" applyFont="1" applyBorder="1" applyAlignment="1">
      <alignment horizontal="center" vertical="center" wrapText="1"/>
    </xf>
    <xf numFmtId="0" fontId="29" fillId="0" borderId="15" xfId="0" applyFont="1" applyBorder="1" applyAlignment="1">
      <alignment horizontal="center" vertical="center" wrapText="1"/>
    </xf>
    <xf numFmtId="0" fontId="0" fillId="0" borderId="15" xfId="0" applyBorder="1"/>
    <xf numFmtId="0" fontId="28" fillId="6" borderId="15" xfId="0" applyFont="1" applyFill="1" applyBorder="1" applyAlignment="1">
      <alignment horizontal="center" vertical="center" wrapText="1"/>
    </xf>
    <xf numFmtId="0" fontId="0" fillId="6" borderId="16" xfId="0" applyFill="1" applyBorder="1"/>
    <xf numFmtId="0" fontId="28" fillId="6" borderId="16" xfId="0" applyFont="1" applyFill="1" applyBorder="1" applyAlignment="1">
      <alignment horizontal="center" vertical="center" wrapText="1"/>
    </xf>
    <xf numFmtId="0" fontId="2" fillId="0" borderId="0" xfId="0" applyFont="1"/>
    <xf numFmtId="0" fontId="33" fillId="0" borderId="6" xfId="6" applyFont="1" applyBorder="1" applyAlignment="1">
      <alignment horizontal="center" vertical="center" wrapText="1"/>
    </xf>
    <xf numFmtId="0" fontId="33" fillId="6" borderId="6" xfId="6" applyFont="1" applyFill="1" applyBorder="1" applyAlignment="1">
      <alignment horizontal="center" vertical="center" wrapText="1"/>
    </xf>
    <xf numFmtId="0" fontId="34" fillId="0" borderId="19" xfId="0" applyFont="1" applyBorder="1" applyAlignment="1">
      <alignment horizontal="center" vertical="center"/>
    </xf>
    <xf numFmtId="0" fontId="33" fillId="0" borderId="20" xfId="6" applyFont="1" applyBorder="1" applyAlignment="1">
      <alignment horizontal="center" vertical="center" wrapText="1"/>
    </xf>
    <xf numFmtId="0" fontId="3" fillId="0" borderId="19" xfId="6" applyFont="1" applyBorder="1" applyAlignment="1">
      <alignment vertical="center" wrapText="1"/>
    </xf>
    <xf numFmtId="0" fontId="3" fillId="0" borderId="19" xfId="6" quotePrefix="1" applyFont="1" applyBorder="1" applyAlignment="1">
      <alignment vertical="center" wrapText="1"/>
    </xf>
    <xf numFmtId="0" fontId="34" fillId="0" borderId="21" xfId="0" applyFont="1" applyBorder="1" applyAlignment="1">
      <alignment horizontal="center" vertical="center"/>
    </xf>
    <xf numFmtId="0" fontId="33" fillId="0" borderId="22" xfId="6" applyFont="1" applyBorder="1" applyAlignment="1">
      <alignment horizontal="center" vertical="center" wrapText="1"/>
    </xf>
    <xf numFmtId="0" fontId="3" fillId="0" borderId="21" xfId="6" applyFont="1" applyBorder="1" applyAlignment="1">
      <alignment vertical="center" wrapText="1"/>
    </xf>
    <xf numFmtId="0" fontId="3" fillId="0" borderId="21" xfId="6" quotePrefix="1" applyFont="1" applyBorder="1" applyAlignment="1">
      <alignment vertical="center" wrapText="1"/>
    </xf>
    <xf numFmtId="0" fontId="34" fillId="0" borderId="23" xfId="0" applyFont="1" applyBorder="1" applyAlignment="1">
      <alignment horizontal="center" vertical="center"/>
    </xf>
    <xf numFmtId="0" fontId="33" fillId="0" borderId="24" xfId="6" applyFont="1" applyBorder="1" applyAlignment="1">
      <alignment horizontal="center" vertical="center" wrapText="1"/>
    </xf>
    <xf numFmtId="0" fontId="3" fillId="0" borderId="23" xfId="6" applyFont="1" applyBorder="1" applyAlignment="1">
      <alignment vertical="center" wrapText="1"/>
    </xf>
    <xf numFmtId="0" fontId="3" fillId="0" borderId="23" xfId="6" quotePrefix="1" applyFont="1" applyBorder="1" applyAlignment="1">
      <alignment vertical="center" wrapText="1"/>
    </xf>
    <xf numFmtId="0" fontId="34" fillId="0" borderId="0" xfId="0" applyFont="1" applyAlignment="1">
      <alignment horizontal="center" vertical="center"/>
    </xf>
    <xf numFmtId="0" fontId="33" fillId="0" borderId="0" xfId="6" applyFont="1" applyAlignment="1">
      <alignment horizontal="center" vertical="center" wrapText="1"/>
    </xf>
    <xf numFmtId="0" fontId="3" fillId="0" borderId="0" xfId="6" applyFont="1" applyAlignment="1">
      <alignment vertical="center" wrapText="1"/>
    </xf>
    <xf numFmtId="0" fontId="3" fillId="0" borderId="0" xfId="6" quotePrefix="1" applyFont="1" applyAlignment="1">
      <alignment vertical="center" wrapText="1"/>
    </xf>
    <xf numFmtId="0" fontId="2" fillId="6" borderId="0" xfId="7" applyFont="1" applyFill="1" applyAlignment="1">
      <alignment wrapText="1"/>
    </xf>
    <xf numFmtId="0" fontId="2" fillId="6" borderId="0" xfId="7" applyFont="1" applyFill="1"/>
    <xf numFmtId="0" fontId="33" fillId="6" borderId="27" xfId="7" applyFont="1" applyFill="1" applyBorder="1" applyAlignment="1">
      <alignment horizontal="center" vertical="center" wrapText="1" readingOrder="1"/>
    </xf>
    <xf numFmtId="0" fontId="33" fillId="6" borderId="28" xfId="7" applyFont="1" applyFill="1" applyBorder="1" applyAlignment="1">
      <alignment horizontal="center" vertical="center" wrapText="1" readingOrder="1"/>
    </xf>
    <xf numFmtId="0" fontId="33" fillId="6" borderId="29" xfId="7" applyFont="1" applyFill="1" applyBorder="1" applyAlignment="1">
      <alignment horizontal="center" vertical="center" wrapText="1" readingOrder="1"/>
    </xf>
    <xf numFmtId="0" fontId="36" fillId="14" borderId="31" xfId="7" applyFont="1" applyFill="1" applyBorder="1" applyAlignment="1">
      <alignment horizontal="center" vertical="center" wrapText="1" readingOrder="1"/>
    </xf>
    <xf numFmtId="0" fontId="36" fillId="6" borderId="25" xfId="7" applyFont="1" applyFill="1" applyBorder="1" applyAlignment="1">
      <alignment horizontal="center" vertical="center" wrapText="1" readingOrder="1"/>
    </xf>
    <xf numFmtId="0" fontId="3" fillId="6" borderId="31" xfId="7" applyFont="1" applyFill="1" applyBorder="1" applyAlignment="1">
      <alignment horizontal="left" vertical="center" wrapText="1" indent="1" readingOrder="1"/>
    </xf>
    <xf numFmtId="0" fontId="3" fillId="6" borderId="32" xfId="7" applyFont="1" applyFill="1" applyBorder="1" applyAlignment="1">
      <alignment horizontal="left" vertical="center" wrapText="1" indent="1" readingOrder="1"/>
    </xf>
    <xf numFmtId="0" fontId="36" fillId="15" borderId="27" xfId="7" applyFont="1" applyFill="1" applyBorder="1" applyAlignment="1">
      <alignment horizontal="center" vertical="center" wrapText="1" readingOrder="1"/>
    </xf>
    <xf numFmtId="0" fontId="36" fillId="6" borderId="28" xfId="7" applyFont="1" applyFill="1" applyBorder="1" applyAlignment="1">
      <alignment horizontal="center" vertical="center" wrapText="1" readingOrder="1"/>
    </xf>
    <xf numFmtId="0" fontId="3" fillId="6" borderId="27" xfId="7" applyFont="1" applyFill="1" applyBorder="1" applyAlignment="1">
      <alignment horizontal="left" vertical="center" wrapText="1" indent="1" readingOrder="1"/>
    </xf>
    <xf numFmtId="0" fontId="3" fillId="6" borderId="29" xfId="7" applyFont="1" applyFill="1" applyBorder="1" applyAlignment="1">
      <alignment horizontal="left" vertical="center" wrapText="1" indent="1" readingOrder="1"/>
    </xf>
    <xf numFmtId="0" fontId="36" fillId="16" borderId="27" xfId="7" applyFont="1" applyFill="1" applyBorder="1" applyAlignment="1">
      <alignment horizontal="center" vertical="center" wrapText="1" readingOrder="1"/>
    </xf>
    <xf numFmtId="0" fontId="36" fillId="17" borderId="27" xfId="7" applyFont="1" applyFill="1" applyBorder="1" applyAlignment="1">
      <alignment horizontal="center" vertical="center" wrapText="1" readingOrder="1"/>
    </xf>
    <xf numFmtId="0" fontId="36" fillId="18" borderId="33" xfId="7" applyFont="1" applyFill="1" applyBorder="1" applyAlignment="1">
      <alignment horizontal="center" vertical="center" wrapText="1" readingOrder="1"/>
    </xf>
    <xf numFmtId="0" fontId="36" fillId="6" borderId="34" xfId="7" applyFont="1" applyFill="1" applyBorder="1" applyAlignment="1">
      <alignment horizontal="center" vertical="center" wrapText="1" readingOrder="1"/>
    </xf>
    <xf numFmtId="0" fontId="3" fillId="6" borderId="35" xfId="7" applyFont="1" applyFill="1" applyBorder="1" applyAlignment="1">
      <alignment horizontal="left" vertical="center" wrapText="1" indent="1" readingOrder="1"/>
    </xf>
    <xf numFmtId="0" fontId="3" fillId="6" borderId="36" xfId="7" applyFont="1" applyFill="1" applyBorder="1" applyAlignment="1">
      <alignment horizontal="left" vertical="center" wrapText="1" indent="1" readingOrder="1"/>
    </xf>
    <xf numFmtId="0" fontId="3" fillId="6" borderId="33" xfId="7" applyFont="1" applyFill="1" applyBorder="1" applyAlignment="1">
      <alignment horizontal="left" vertical="center" wrapText="1" indent="1" readingOrder="1"/>
    </xf>
    <xf numFmtId="0" fontId="36" fillId="14" borderId="37" xfId="7" applyFont="1" applyFill="1" applyBorder="1" applyAlignment="1">
      <alignment horizontal="center" vertical="center" wrapText="1" readingOrder="1"/>
    </xf>
    <xf numFmtId="0" fontId="36" fillId="6" borderId="38" xfId="7" applyFont="1" applyFill="1" applyBorder="1" applyAlignment="1">
      <alignment horizontal="center" vertical="center" wrapText="1" readingOrder="1"/>
    </xf>
    <xf numFmtId="0" fontId="38" fillId="6" borderId="37" xfId="7" applyFont="1" applyFill="1" applyBorder="1" applyAlignment="1">
      <alignment horizontal="left" vertical="center" wrapText="1" readingOrder="1"/>
    </xf>
    <xf numFmtId="0" fontId="3" fillId="19" borderId="39" xfId="7" applyFont="1" applyFill="1" applyBorder="1" applyAlignment="1">
      <alignment horizontal="left" vertical="center" wrapText="1" indent="1" readingOrder="1"/>
    </xf>
    <xf numFmtId="0" fontId="3" fillId="19" borderId="37" xfId="7" applyFont="1" applyFill="1" applyBorder="1" applyAlignment="1">
      <alignment horizontal="left" vertical="center" wrapText="1" indent="1" readingOrder="1"/>
    </xf>
    <xf numFmtId="0" fontId="3" fillId="6" borderId="6" xfId="7" applyFont="1" applyFill="1" applyBorder="1" applyAlignment="1">
      <alignment horizontal="left" vertical="center" wrapText="1" indent="1" readingOrder="1"/>
    </xf>
    <xf numFmtId="0" fontId="3" fillId="19" borderId="29" xfId="7" applyFont="1" applyFill="1" applyBorder="1" applyAlignment="1">
      <alignment horizontal="left" vertical="center" wrapText="1" indent="1" readingOrder="1"/>
    </xf>
    <xf numFmtId="0" fontId="3" fillId="19" borderId="27" xfId="7" applyFont="1" applyFill="1" applyBorder="1" applyAlignment="1">
      <alignment horizontal="left" vertical="center" wrapText="1" indent="1" readingOrder="1"/>
    </xf>
    <xf numFmtId="0" fontId="3" fillId="19" borderId="36" xfId="7" applyFont="1" applyFill="1" applyBorder="1" applyAlignment="1">
      <alignment horizontal="left" vertical="center" wrapText="1" indent="1" readingOrder="1"/>
    </xf>
    <xf numFmtId="0" fontId="3" fillId="19" borderId="33" xfId="7" applyFont="1" applyFill="1" applyBorder="1" applyAlignment="1">
      <alignment horizontal="left" vertical="center" wrapText="1" indent="1" readingOrder="1"/>
    </xf>
    <xf numFmtId="0" fontId="36" fillId="6" borderId="37" xfId="7" applyFont="1" applyFill="1" applyBorder="1" applyAlignment="1">
      <alignment horizontal="center" vertical="center" wrapText="1" readingOrder="1"/>
    </xf>
    <xf numFmtId="0" fontId="36" fillId="6" borderId="27" xfId="7" applyFont="1" applyFill="1" applyBorder="1" applyAlignment="1">
      <alignment horizontal="center" vertical="center" wrapText="1" readingOrder="1"/>
    </xf>
    <xf numFmtId="0" fontId="36" fillId="18" borderId="27" xfId="7" applyFont="1" applyFill="1" applyBorder="1" applyAlignment="1">
      <alignment horizontal="center" vertical="center" wrapText="1" readingOrder="1"/>
    </xf>
    <xf numFmtId="0" fontId="3" fillId="0" borderId="0" xfId="6" applyFont="1" applyAlignment="1">
      <alignment wrapText="1"/>
    </xf>
    <xf numFmtId="0" fontId="3" fillId="0" borderId="0" xfId="6" applyFont="1" applyAlignment="1">
      <alignment horizontal="left" vertical="top" wrapText="1"/>
    </xf>
    <xf numFmtId="0" fontId="39" fillId="0" borderId="0" xfId="6" applyFont="1" applyAlignment="1">
      <alignment horizontal="center" vertical="center" wrapText="1"/>
    </xf>
    <xf numFmtId="0" fontId="33" fillId="0" borderId="6" xfId="0" applyFont="1" applyBorder="1" applyAlignment="1">
      <alignment horizontal="center" vertical="center" wrapText="1" readingOrder="1"/>
    </xf>
    <xf numFmtId="0" fontId="3" fillId="0" borderId="6" xfId="6" applyFont="1" applyBorder="1" applyAlignment="1">
      <alignment vertical="center" wrapText="1"/>
    </xf>
    <xf numFmtId="0" fontId="36" fillId="14" borderId="6" xfId="7" applyFont="1" applyFill="1" applyBorder="1" applyAlignment="1">
      <alignment horizontal="center" vertical="center" wrapText="1" readingOrder="1"/>
    </xf>
    <xf numFmtId="9" fontId="40" fillId="6" borderId="6" xfId="1" quotePrefix="1" applyFont="1" applyFill="1" applyBorder="1" applyAlignment="1">
      <alignment horizontal="center" vertical="center" wrapText="1" readingOrder="1"/>
    </xf>
    <xf numFmtId="0" fontId="37" fillId="0" borderId="6" xfId="0" quotePrefix="1" applyFont="1" applyBorder="1" applyAlignment="1">
      <alignment horizontal="center" vertical="center" wrapText="1" readingOrder="1"/>
    </xf>
    <xf numFmtId="0" fontId="3" fillId="0" borderId="6" xfId="6" quotePrefix="1" applyFont="1" applyBorder="1" applyAlignment="1">
      <alignment vertical="center" wrapText="1"/>
    </xf>
    <xf numFmtId="0" fontId="36" fillId="15" borderId="6" xfId="7" applyFont="1" applyFill="1" applyBorder="1" applyAlignment="1">
      <alignment horizontal="center" vertical="center" wrapText="1" readingOrder="1"/>
    </xf>
    <xf numFmtId="9" fontId="40" fillId="6" borderId="6" xfId="1" applyFont="1" applyFill="1" applyBorder="1" applyAlignment="1">
      <alignment horizontal="center" vertical="center" wrapText="1" readingOrder="1"/>
    </xf>
    <xf numFmtId="0" fontId="37" fillId="0" borderId="6" xfId="0" applyFont="1" applyBorder="1" applyAlignment="1">
      <alignment horizontal="center" vertical="center" wrapText="1" readingOrder="1"/>
    </xf>
    <xf numFmtId="0" fontId="36" fillId="16" borderId="6" xfId="7" applyFont="1" applyFill="1" applyBorder="1" applyAlignment="1">
      <alignment horizontal="center" vertical="center" wrapText="1" readingOrder="1"/>
    </xf>
    <xf numFmtId="0" fontId="36" fillId="17" borderId="6" xfId="7" applyFont="1" applyFill="1" applyBorder="1" applyAlignment="1">
      <alignment horizontal="center" vertical="center" wrapText="1" readingOrder="1"/>
    </xf>
    <xf numFmtId="0" fontId="36" fillId="18" borderId="6" xfId="7" applyFont="1" applyFill="1" applyBorder="1" applyAlignment="1">
      <alignment horizontal="center" vertical="center" wrapText="1" readingOrder="1"/>
    </xf>
    <xf numFmtId="0" fontId="25" fillId="3" borderId="15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3" borderId="13" xfId="0" applyFont="1" applyFill="1" applyBorder="1" applyAlignment="1">
      <alignment vertical="center"/>
    </xf>
    <xf numFmtId="0" fontId="37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vertical="center"/>
    </xf>
    <xf numFmtId="0" fontId="8" fillId="0" borderId="6" xfId="0" applyFont="1" applyBorder="1" applyAlignment="1">
      <alignment vertical="center" wrapText="1"/>
    </xf>
    <xf numFmtId="0" fontId="19" fillId="0" borderId="15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9" fillId="21" borderId="15" xfId="0" applyFont="1" applyFill="1" applyBorder="1" applyAlignment="1">
      <alignment horizontal="center" vertical="center" wrapText="1"/>
    </xf>
    <xf numFmtId="0" fontId="34" fillId="0" borderId="6" xfId="0" applyFont="1" applyBorder="1" applyAlignment="1">
      <alignment vertical="center"/>
    </xf>
    <xf numFmtId="0" fontId="41" fillId="0" borderId="6" xfId="0" applyFont="1" applyBorder="1" applyAlignment="1">
      <alignment horizontal="left" vertical="center" wrapText="1"/>
    </xf>
    <xf numFmtId="0" fontId="41" fillId="0" borderId="15" xfId="0" applyFont="1" applyBorder="1" applyAlignment="1">
      <alignment horizontal="left" vertical="center" wrapText="1"/>
    </xf>
    <xf numFmtId="0" fontId="2" fillId="0" borderId="15" xfId="0" applyFont="1" applyBorder="1" applyAlignment="1">
      <alignment vertical="center"/>
    </xf>
    <xf numFmtId="0" fontId="19" fillId="22" borderId="15" xfId="0" applyFont="1" applyFill="1" applyBorder="1" applyAlignment="1">
      <alignment horizontal="center" vertical="center" wrapText="1"/>
    </xf>
    <xf numFmtId="0" fontId="8" fillId="0" borderId="6" xfId="0" quotePrefix="1" applyFont="1" applyBorder="1" applyAlignment="1">
      <alignment horizontal="center"/>
    </xf>
    <xf numFmtId="0" fontId="8" fillId="8" borderId="6" xfId="0" quotePrefix="1" applyFont="1" applyFill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8" fillId="23" borderId="6" xfId="0" applyFont="1" applyFill="1" applyBorder="1" applyAlignment="1">
      <alignment horizontal="center" vertical="center"/>
    </xf>
    <xf numFmtId="0" fontId="8" fillId="24" borderId="6" xfId="0" applyFont="1" applyFill="1" applyBorder="1" applyAlignment="1">
      <alignment horizontal="center" vertical="center"/>
    </xf>
    <xf numFmtId="0" fontId="19" fillId="0" borderId="6" xfId="0" applyFont="1" applyBorder="1" applyAlignment="1">
      <alignment horizontal="left" vertical="center"/>
    </xf>
    <xf numFmtId="0" fontId="19" fillId="0" borderId="6" xfId="0" applyFont="1" applyBorder="1" applyAlignment="1">
      <alignment horizontal="left" vertical="center" wrapText="1"/>
    </xf>
    <xf numFmtId="0" fontId="8" fillId="0" borderId="0" xfId="0" applyFont="1" applyAlignment="1">
      <alignment wrapText="1"/>
    </xf>
    <xf numFmtId="0" fontId="26" fillId="0" borderId="0" xfId="0" applyFont="1" applyAlignment="1">
      <alignment horizontal="center" vertical="center" wrapText="1"/>
    </xf>
    <xf numFmtId="0" fontId="8" fillId="0" borderId="0" xfId="0" quotePrefix="1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0" fontId="31" fillId="0" borderId="0" xfId="0" applyFont="1" applyAlignment="1">
      <alignment horizontal="left" vertical="center" wrapText="1"/>
    </xf>
    <xf numFmtId="0" fontId="41" fillId="6" borderId="13" xfId="0" applyFont="1" applyFill="1" applyBorder="1" applyAlignment="1">
      <alignment vertical="center" wrapText="1"/>
    </xf>
    <xf numFmtId="0" fontId="2" fillId="0" borderId="6" xfId="0" applyFont="1" applyBorder="1" applyAlignment="1">
      <alignment vertical="center"/>
    </xf>
    <xf numFmtId="0" fontId="41" fillId="0" borderId="0" xfId="0" applyFont="1" applyAlignment="1">
      <alignment horizontal="center" vertical="center" wrapText="1"/>
    </xf>
    <xf numFmtId="0" fontId="31" fillId="0" borderId="0" xfId="8" applyFont="1" applyAlignment="1">
      <alignment horizontal="left" vertical="center" wrapText="1"/>
    </xf>
    <xf numFmtId="0" fontId="8" fillId="0" borderId="0" xfId="0" applyFont="1" applyAlignment="1">
      <alignment horizontal="left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1" fillId="6" borderId="13" xfId="0" applyFont="1" applyFill="1" applyBorder="1" applyAlignment="1">
      <alignment vertical="center" wrapText="1"/>
    </xf>
    <xf numFmtId="0" fontId="8" fillId="0" borderId="0" xfId="0" applyFont="1" applyAlignment="1">
      <alignment horizontal="left" vertical="center"/>
    </xf>
    <xf numFmtId="0" fontId="42" fillId="0" borderId="6" xfId="0" applyFont="1" applyBorder="1"/>
    <xf numFmtId="0" fontId="8" fillId="0" borderId="6" xfId="0" applyFont="1" applyBorder="1"/>
    <xf numFmtId="0" fontId="31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7" fillId="0" borderId="0" xfId="0" applyFont="1" applyAlignment="1">
      <alignment vertical="center" wrapText="1"/>
    </xf>
    <xf numFmtId="0" fontId="25" fillId="0" borderId="0" xfId="0" applyFont="1" applyAlignment="1">
      <alignment horizontal="left" vertical="center" wrapText="1"/>
    </xf>
    <xf numFmtId="0" fontId="37" fillId="0" borderId="13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left" vertical="center"/>
    </xf>
    <xf numFmtId="0" fontId="8" fillId="0" borderId="6" xfId="0" applyFont="1" applyBorder="1" applyAlignment="1">
      <alignment horizontal="center"/>
    </xf>
    <xf numFmtId="0" fontId="41" fillId="6" borderId="6" xfId="0" applyFont="1" applyFill="1" applyBorder="1" applyAlignment="1">
      <alignment vertical="center" wrapText="1"/>
    </xf>
    <xf numFmtId="0" fontId="31" fillId="6" borderId="6" xfId="0" applyFont="1" applyFill="1" applyBorder="1" applyAlignment="1">
      <alignment vertical="center" wrapText="1"/>
    </xf>
    <xf numFmtId="0" fontId="15" fillId="6" borderId="0" xfId="2" applyFont="1" applyFill="1" applyAlignment="1" applyProtection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vertical="center"/>
    </xf>
    <xf numFmtId="0" fontId="8" fillId="6" borderId="10" xfId="0" applyFont="1" applyFill="1" applyBorder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6" borderId="1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6" borderId="12" xfId="0" applyFont="1" applyFill="1" applyBorder="1" applyAlignment="1">
      <alignment horizontal="center" vertical="center"/>
    </xf>
    <xf numFmtId="0" fontId="10" fillId="6" borderId="0" xfId="3" applyFont="1" applyFill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5" fillId="0" borderId="0" xfId="2" applyFont="1" applyBorder="1" applyAlignment="1">
      <alignment horizontal="center" vertical="center" wrapText="1"/>
    </xf>
    <xf numFmtId="0" fontId="20" fillId="11" borderId="0" xfId="0" applyFont="1" applyFill="1" applyAlignment="1">
      <alignment horizontal="left" vertical="center" wrapText="1"/>
    </xf>
    <xf numFmtId="0" fontId="5" fillId="0" borderId="0" xfId="2" applyFont="1" applyAlignment="1">
      <alignment horizontal="left" vertical="center"/>
    </xf>
    <xf numFmtId="0" fontId="29" fillId="0" borderId="10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5" fillId="0" borderId="0" xfId="2" applyFont="1" applyAlignment="1">
      <alignment horizontal="left"/>
    </xf>
    <xf numFmtId="0" fontId="26" fillId="0" borderId="15" xfId="0" applyFont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0" fontId="26" fillId="0" borderId="15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 wrapText="1"/>
    </xf>
    <xf numFmtId="0" fontId="28" fillId="0" borderId="7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center" vertical="center" wrapText="1"/>
    </xf>
    <xf numFmtId="0" fontId="28" fillId="0" borderId="15" xfId="0" applyFont="1" applyBorder="1" applyAlignment="1">
      <alignment horizontal="center" vertical="center" wrapText="1"/>
    </xf>
    <xf numFmtId="0" fontId="28" fillId="0" borderId="16" xfId="0" applyFont="1" applyBorder="1" applyAlignment="1">
      <alignment horizontal="center" vertical="center" wrapText="1"/>
    </xf>
    <xf numFmtId="0" fontId="28" fillId="0" borderId="17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27" fillId="0" borderId="17" xfId="0" applyFont="1" applyBorder="1" applyAlignment="1">
      <alignment horizontal="center" vertical="center" wrapText="1"/>
    </xf>
    <xf numFmtId="0" fontId="34" fillId="0" borderId="30" xfId="7" applyFont="1" applyBorder="1" applyAlignment="1">
      <alignment horizontal="center" vertical="center" textRotation="90"/>
    </xf>
    <xf numFmtId="0" fontId="32" fillId="12" borderId="18" xfId="6" applyFont="1" applyFill="1" applyBorder="1" applyAlignment="1">
      <alignment horizontal="center" vertical="center" wrapText="1"/>
    </xf>
    <xf numFmtId="0" fontId="7" fillId="20" borderId="2" xfId="0" applyFont="1" applyFill="1" applyBorder="1" applyAlignment="1">
      <alignment horizontal="center" vertical="center"/>
    </xf>
    <xf numFmtId="0" fontId="32" fillId="12" borderId="13" xfId="6" applyFont="1" applyFill="1" applyBorder="1" applyAlignment="1">
      <alignment horizontal="center" vertical="center" wrapText="1"/>
    </xf>
    <xf numFmtId="0" fontId="35" fillId="13" borderId="25" xfId="7" applyFont="1" applyFill="1" applyBorder="1" applyAlignment="1">
      <alignment horizontal="center" vertical="center" wrapText="1" readingOrder="1"/>
    </xf>
    <xf numFmtId="0" fontId="35" fillId="13" borderId="26" xfId="7" applyFont="1" applyFill="1" applyBorder="1" applyAlignment="1">
      <alignment horizontal="center" vertical="center" wrapText="1" readingOrder="1"/>
    </xf>
    <xf numFmtId="0" fontId="41" fillId="6" borderId="6" xfId="0" applyFont="1" applyFill="1" applyBorder="1" applyAlignment="1">
      <alignment horizontal="center" vertical="center" wrapText="1"/>
    </xf>
  </cellXfs>
  <cellStyles count="9">
    <cellStyle name="Collegamento ipertestuale" xfId="2" builtinId="8"/>
    <cellStyle name="Collegamento ipertestuale 2" xfId="5"/>
    <cellStyle name="Excel Built-in Normal" xfId="4"/>
    <cellStyle name="Normal 7" xfId="3"/>
    <cellStyle name="Normale" xfId="0" builtinId="0"/>
    <cellStyle name="Normale 2" xfId="8"/>
    <cellStyle name="Normale 3 2" xfId="7"/>
    <cellStyle name="Normale_070628 - FM - Mappa Rischi" xfId="6"/>
    <cellStyle name="Percentuale" xfId="1" builtinId="5"/>
  </cellStyles>
  <dxfs count="9"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47625</xdr:colOff>
      <xdr:row>1</xdr:row>
      <xdr:rowOff>76200</xdr:rowOff>
    </xdr:from>
    <xdr:to>
      <xdr:col>12</xdr:col>
      <xdr:colOff>584835</xdr:colOff>
      <xdr:row>9</xdr:row>
      <xdr:rowOff>14598</xdr:rowOff>
    </xdr:to>
    <xdr:pic>
      <xdr:nvPicPr>
        <xdr:cNvPr id="2" name="Immagine 1">
          <a:extLst>
            <a:ext uri="{FF2B5EF4-FFF2-40B4-BE49-F238E27FC236}">
              <a16:creationId xmlns="" xmlns:a16="http://schemas.microsoft.com/office/drawing/2014/main" id="{875F5E0B-B880-D3B6-0795-849514C43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95875" y="276225"/>
          <a:ext cx="2308860" cy="13861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3"/>
  <sheetViews>
    <sheetView showGridLines="0" workbookViewId="0">
      <selection activeCell="A25" sqref="A23:A25"/>
    </sheetView>
  </sheetViews>
  <sheetFormatPr defaultColWidth="8.85546875" defaultRowHeight="0" customHeight="1" zeroHeight="1"/>
  <cols>
    <col min="1" max="1" width="60.140625" style="15" bestFit="1" customWidth="1"/>
    <col min="2" max="6" width="8.85546875" style="15"/>
    <col min="7" max="7" width="8.85546875" style="15" customWidth="1"/>
    <col min="8" max="8" width="7.5703125" style="15" customWidth="1"/>
    <col min="9" max="13" width="8.85546875" style="15"/>
    <col min="14" max="15" width="8.85546875" style="15" customWidth="1"/>
    <col min="16" max="16384" width="8.85546875" style="15"/>
  </cols>
  <sheetData>
    <row r="1" spans="1:22" ht="16.350000000000001" customHeight="1"/>
    <row r="2" spans="1:22" ht="14.25">
      <c r="H2" s="183"/>
      <c r="I2" s="184"/>
      <c r="J2" s="184"/>
      <c r="K2" s="184"/>
      <c r="L2" s="184"/>
      <c r="M2" s="184"/>
      <c r="N2" s="184"/>
      <c r="O2" s="185"/>
    </row>
    <row r="3" spans="1:22" ht="14.25">
      <c r="H3" s="186"/>
      <c r="I3" s="187"/>
      <c r="J3" s="187"/>
      <c r="K3" s="187"/>
      <c r="L3" s="187"/>
      <c r="M3" s="187"/>
      <c r="N3" s="187"/>
      <c r="O3" s="188"/>
    </row>
    <row r="4" spans="1:22" ht="14.25">
      <c r="H4" s="186"/>
      <c r="I4" s="187"/>
      <c r="J4" s="187"/>
      <c r="K4" s="187"/>
      <c r="L4" s="187"/>
      <c r="M4" s="187"/>
      <c r="N4" s="187"/>
      <c r="O4" s="188"/>
    </row>
    <row r="5" spans="1:22" ht="14.25">
      <c r="H5" s="186"/>
      <c r="I5" s="187"/>
      <c r="J5" s="187"/>
      <c r="K5" s="187"/>
      <c r="L5" s="187"/>
      <c r="M5" s="187"/>
      <c r="N5" s="187"/>
      <c r="O5" s="188"/>
    </row>
    <row r="6" spans="1:22" ht="14.25">
      <c r="H6" s="186"/>
      <c r="I6" s="187"/>
      <c r="J6" s="187"/>
      <c r="K6" s="187"/>
      <c r="L6" s="187"/>
      <c r="M6" s="187"/>
      <c r="N6" s="187"/>
      <c r="O6" s="188"/>
    </row>
    <row r="7" spans="1:22" ht="14.25">
      <c r="H7" s="186"/>
      <c r="I7" s="187"/>
      <c r="J7" s="187"/>
      <c r="K7" s="187"/>
      <c r="L7" s="187"/>
      <c r="M7" s="187"/>
      <c r="N7" s="187"/>
      <c r="O7" s="188"/>
    </row>
    <row r="8" spans="1:22" ht="14.25">
      <c r="H8" s="186"/>
      <c r="I8" s="187"/>
      <c r="J8" s="187"/>
      <c r="K8" s="187"/>
      <c r="L8" s="187"/>
      <c r="M8" s="187"/>
      <c r="N8" s="187"/>
      <c r="O8" s="188"/>
    </row>
    <row r="9" spans="1:22" ht="14.25">
      <c r="H9" s="186"/>
      <c r="I9" s="187"/>
      <c r="J9" s="187"/>
      <c r="K9" s="187"/>
      <c r="L9" s="187"/>
      <c r="M9" s="187"/>
      <c r="N9" s="187"/>
      <c r="O9" s="188"/>
    </row>
    <row r="10" spans="1:22" ht="14.25">
      <c r="H10" s="189"/>
      <c r="I10" s="190"/>
      <c r="J10" s="190"/>
      <c r="K10" s="190"/>
      <c r="L10" s="190"/>
      <c r="M10" s="190"/>
      <c r="N10" s="190"/>
      <c r="O10" s="191"/>
    </row>
    <row r="11" spans="1:22" ht="14.25"/>
    <row r="12" spans="1:22" ht="23.25">
      <c r="A12" s="192" t="s">
        <v>417</v>
      </c>
      <c r="B12" s="192"/>
      <c r="C12" s="192"/>
      <c r="D12" s="192"/>
      <c r="E12" s="192"/>
      <c r="F12" s="192"/>
      <c r="G12" s="192"/>
      <c r="H12" s="192"/>
      <c r="I12" s="192"/>
      <c r="J12" s="192"/>
      <c r="K12" s="192"/>
      <c r="L12" s="192"/>
      <c r="M12" s="192"/>
      <c r="N12" s="192"/>
      <c r="O12" s="192"/>
      <c r="P12" s="192"/>
      <c r="Q12" s="192"/>
      <c r="R12" s="192"/>
      <c r="S12" s="192"/>
      <c r="T12" s="192"/>
      <c r="U12" s="192"/>
      <c r="V12" s="192"/>
    </row>
    <row r="13" spans="1:22" ht="20.25">
      <c r="B13" s="16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8"/>
    </row>
    <row r="14" spans="1:22" ht="18">
      <c r="A14" s="182" t="s">
        <v>0</v>
      </c>
      <c r="B14" s="182"/>
      <c r="C14" s="182"/>
      <c r="D14" s="182"/>
      <c r="E14" s="182"/>
      <c r="F14" s="182"/>
      <c r="G14" s="182"/>
      <c r="H14" s="182"/>
      <c r="I14" s="182"/>
      <c r="J14" s="182"/>
      <c r="K14" s="182"/>
      <c r="L14" s="182"/>
      <c r="M14" s="182"/>
      <c r="N14" s="182"/>
      <c r="O14" s="182"/>
      <c r="P14" s="182"/>
      <c r="Q14" s="182"/>
      <c r="R14" s="182"/>
      <c r="S14" s="182"/>
      <c r="T14" s="182"/>
      <c r="U14" s="182"/>
      <c r="V14" s="182"/>
    </row>
    <row r="15" spans="1:22" ht="6.6" customHeight="1">
      <c r="B15" s="16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8"/>
      <c r="Q15"/>
    </row>
    <row r="16" spans="1:22" ht="18">
      <c r="A16" s="182" t="s">
        <v>58</v>
      </c>
      <c r="B16" s="182"/>
      <c r="C16" s="182"/>
      <c r="D16" s="182"/>
      <c r="E16" s="182"/>
      <c r="F16" s="182"/>
      <c r="G16" s="182"/>
      <c r="H16" s="182"/>
      <c r="I16" s="182"/>
      <c r="J16" s="182"/>
      <c r="K16" s="182"/>
      <c r="L16" s="182"/>
      <c r="M16" s="182"/>
      <c r="N16" s="182"/>
      <c r="O16" s="182"/>
      <c r="P16" s="182"/>
      <c r="Q16" s="182"/>
      <c r="R16" s="182"/>
      <c r="S16" s="182"/>
      <c r="T16" s="182"/>
      <c r="U16" s="182"/>
      <c r="V16" s="182"/>
    </row>
    <row r="17" spans="1:22" ht="6.6" customHeight="1">
      <c r="B17" s="16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8"/>
    </row>
    <row r="18" spans="1:22" ht="18">
      <c r="A18" s="182" t="s">
        <v>59</v>
      </c>
      <c r="B18" s="182"/>
      <c r="C18" s="182"/>
      <c r="D18" s="182"/>
      <c r="E18" s="182"/>
      <c r="F18" s="182"/>
      <c r="G18" s="182"/>
      <c r="H18" s="182"/>
      <c r="I18" s="182"/>
      <c r="J18" s="182"/>
      <c r="K18" s="182"/>
      <c r="L18" s="182"/>
      <c r="M18" s="182"/>
      <c r="N18" s="182"/>
      <c r="O18" s="182"/>
      <c r="P18" s="182"/>
      <c r="Q18" s="182"/>
      <c r="R18" s="182"/>
      <c r="S18" s="182"/>
      <c r="T18" s="182"/>
      <c r="U18" s="182"/>
      <c r="V18" s="182"/>
    </row>
    <row r="19" spans="1:22" ht="7.35" customHeight="1">
      <c r="B19" s="19"/>
      <c r="C19" s="20"/>
      <c r="D19" s="20"/>
      <c r="E19" s="21"/>
      <c r="F19" s="21"/>
      <c r="G19" s="21"/>
      <c r="H19" s="21"/>
      <c r="I19" s="21"/>
      <c r="J19" s="21"/>
      <c r="K19" s="21"/>
      <c r="L19" s="21"/>
      <c r="M19" s="21"/>
      <c r="N19" s="18"/>
    </row>
    <row r="20" spans="1:22" ht="18">
      <c r="A20" s="182" t="s">
        <v>60</v>
      </c>
      <c r="B20" s="182"/>
      <c r="C20" s="182"/>
      <c r="D20" s="182"/>
      <c r="E20" s="182"/>
      <c r="F20" s="182"/>
      <c r="G20" s="182"/>
      <c r="H20" s="182"/>
      <c r="I20" s="182"/>
      <c r="J20" s="182"/>
      <c r="K20" s="182"/>
      <c r="L20" s="182"/>
      <c r="M20" s="182"/>
      <c r="N20" s="182"/>
      <c r="O20" s="182"/>
      <c r="P20" s="182"/>
      <c r="Q20" s="182"/>
      <c r="R20" s="182"/>
      <c r="S20" s="182"/>
      <c r="T20" s="182"/>
      <c r="U20" s="182"/>
      <c r="V20" s="182"/>
    </row>
    <row r="21" spans="1:22" ht="15.75">
      <c r="B21" s="19"/>
      <c r="C21" s="20"/>
      <c r="D21" s="20"/>
      <c r="E21" s="22"/>
      <c r="F21" s="22"/>
      <c r="G21" s="22"/>
      <c r="H21" s="22"/>
      <c r="I21" s="22"/>
      <c r="J21" s="22"/>
      <c r="K21" s="22"/>
      <c r="L21" s="22"/>
      <c r="M21" s="22"/>
    </row>
    <row r="22" spans="1:22" ht="15.75">
      <c r="B22" s="19"/>
    </row>
    <row r="23" spans="1:22" ht="14.25">
      <c r="A23" s="15" t="s">
        <v>425</v>
      </c>
    </row>
    <row r="24" spans="1:22" ht="14.25">
      <c r="A24" s="15" t="s">
        <v>427</v>
      </c>
    </row>
    <row r="25" spans="1:22" ht="14.25">
      <c r="A25" s="15" t="s">
        <v>426</v>
      </c>
    </row>
    <row r="26" spans="1:22" ht="14.25" hidden="1"/>
    <row r="27" spans="1:22" ht="14.25" hidden="1"/>
    <row r="28" spans="1:22" ht="14.25" hidden="1"/>
    <row r="29" spans="1:22" ht="14.25" hidden="1"/>
    <row r="30" spans="1:22" ht="14.25" hidden="1"/>
    <row r="31" spans="1:22" ht="14.25" hidden="1"/>
    <row r="32" spans="1:22" ht="14.25" hidden="1"/>
    <row r="33" ht="14.25" hidden="1"/>
    <row r="34" ht="14.25" hidden="1"/>
    <row r="35" ht="14.25" hidden="1"/>
    <row r="36" ht="14.25" hidden="1"/>
    <row r="37" ht="14.25" hidden="1"/>
    <row r="38" ht="14.25" hidden="1"/>
    <row r="39" ht="14.25" hidden="1"/>
    <row r="40" ht="14.25" hidden="1"/>
    <row r="41" ht="14.25" hidden="1"/>
    <row r="42" ht="14.25" hidden="1"/>
    <row r="43" ht="14.25" hidden="1"/>
    <row r="44" ht="14.25" hidden="1"/>
    <row r="45" ht="14.25" hidden="1"/>
    <row r="46" ht="14.25" hidden="1"/>
    <row r="47" ht="14.25" hidden="1"/>
    <row r="48" ht="14.25" hidden="1"/>
    <row r="49" ht="14.25" hidden="1"/>
    <row r="50" ht="14.25" hidden="1"/>
    <row r="51" ht="14.25" hidden="1"/>
    <row r="52" ht="14.25" hidden="1"/>
    <row r="53" ht="14.25" hidden="1"/>
  </sheetData>
  <mergeCells count="6">
    <mergeCell ref="A20:V20"/>
    <mergeCell ref="H2:O10"/>
    <mergeCell ref="A12:V12"/>
    <mergeCell ref="A14:V14"/>
    <mergeCell ref="A16:V16"/>
    <mergeCell ref="A18:V18"/>
  </mergeCells>
  <hyperlinks>
    <hyperlink ref="A18" location="'Assessment Criteria'!A1" display="Assessment Criteria"/>
    <hyperlink ref="A20" location="'Registro dei Rischi'!A1" display="Registro dei Rischi"/>
    <hyperlink ref="A14:U14" location="'Registro dei Rischi'!A1" display="Registro dei Rischi"/>
    <hyperlink ref="A16:U16" location="'Risk Guide'!A1" display="Risk Guide"/>
    <hyperlink ref="A18:U18" location="'Risk Model'!A1" display="Risk Model"/>
    <hyperlink ref="A20:U20" location="'Metriche di valutazione'!A1" display="Metriche di Valutazione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autoPageBreaks="0"/>
  </sheetPr>
  <dimension ref="C1:BD14"/>
  <sheetViews>
    <sheetView showGridLines="0" tabSelected="1" zoomScale="91" zoomScaleNormal="91" workbookViewId="0">
      <pane ySplit="6" topLeftCell="A7" activePane="bottomLeft" state="frozen"/>
      <selection activeCell="A16" sqref="A16:V16"/>
      <selection pane="bottomLeft" activeCell="M10" sqref="M10"/>
    </sheetView>
  </sheetViews>
  <sheetFormatPr defaultColWidth="8.85546875" defaultRowHeight="12.75" outlineLevelCol="3"/>
  <cols>
    <col min="1" max="2" width="3.5703125" style="2" customWidth="1"/>
    <col min="3" max="3" width="14" style="1" customWidth="1" outlineLevel="1"/>
    <col min="4" max="4" width="21.140625" style="1" bestFit="1" customWidth="1" outlineLevel="1"/>
    <col min="5" max="5" width="14" style="1" customWidth="1" outlineLevel="1"/>
    <col min="6" max="7" width="16.85546875" style="1" customWidth="1" outlineLevel="1"/>
    <col min="8" max="8" width="25.85546875" style="1" bestFit="1" customWidth="1" outlineLevel="1"/>
    <col min="9" max="10" width="26.42578125" style="1" bestFit="1" customWidth="1" outlineLevel="1"/>
    <col min="11" max="11" width="33" style="2" customWidth="1"/>
    <col min="12" max="12" width="50.42578125" style="2" customWidth="1"/>
    <col min="13" max="13" width="46.42578125" style="2" customWidth="1"/>
    <col min="14" max="14" width="69.42578125" style="2" customWidth="1"/>
    <col min="15" max="16" width="15.5703125" style="2" customWidth="1"/>
    <col min="17" max="17" width="15" style="2" customWidth="1"/>
    <col min="18" max="20" width="15.5703125" style="2" customWidth="1"/>
    <col min="21" max="23" width="18.42578125" style="2" customWidth="1"/>
    <col min="24" max="24" width="84.85546875" style="3" customWidth="1"/>
    <col min="25" max="25" width="23.85546875" style="3" customWidth="1"/>
    <col min="26" max="26" width="24.140625" style="3" customWidth="1"/>
    <col min="27" max="27" width="24.5703125" style="3" customWidth="1"/>
    <col min="28" max="28" width="24" style="3" customWidth="1"/>
    <col min="29" max="29" width="23.85546875" style="3" customWidth="1"/>
    <col min="30" max="30" width="23.5703125" style="3" customWidth="1"/>
    <col min="31" max="31" width="20.5703125" style="1" customWidth="1" outlineLevel="1"/>
    <col min="32" max="32" width="20.5703125" style="4" customWidth="1" outlineLevel="1"/>
    <col min="33" max="33" width="24.85546875" style="4" customWidth="1" outlineLevel="1"/>
    <col min="34" max="36" width="20.5703125" style="4" customWidth="1" outlineLevel="1"/>
    <col min="37" max="37" width="84.85546875" style="3" customWidth="1"/>
    <col min="38" max="38" width="18.42578125" style="1" customWidth="1"/>
    <col min="39" max="39" width="16.85546875" style="1" customWidth="1" outlineLevel="2"/>
    <col min="40" max="40" width="15" style="1" customWidth="1" outlineLevel="3"/>
    <col min="41" max="41" width="20.85546875" style="1" customWidth="1" outlineLevel="3"/>
    <col min="42" max="42" width="17.5703125" style="1" customWidth="1" outlineLevel="3"/>
    <col min="43" max="43" width="15" style="1" customWidth="1" outlineLevel="3"/>
    <col min="44" max="44" width="19.5703125" style="1" customWidth="1" outlineLevel="3"/>
    <col min="45" max="45" width="15" style="1" customWidth="1" outlineLevel="3"/>
    <col min="46" max="46" width="20.5703125" style="2" customWidth="1"/>
    <col min="47" max="47" width="20.42578125" style="2" customWidth="1"/>
    <col min="48" max="48" width="18.140625" style="2" customWidth="1"/>
    <col min="49" max="49" width="46.140625" style="5" customWidth="1"/>
    <col min="50" max="50" width="30.85546875" style="3" customWidth="1"/>
    <col min="51" max="51" width="16.5703125" style="2" customWidth="1" outlineLevel="1"/>
    <col min="52" max="52" width="27.42578125" style="2" customWidth="1"/>
    <col min="53" max="53" width="16.5703125" style="2" customWidth="1" outlineLevel="1"/>
    <col min="54" max="54" width="14.42578125" style="4" bestFit="1" customWidth="1"/>
    <col min="55" max="55" width="13.42578125" style="4" bestFit="1" customWidth="1"/>
    <col min="56" max="56" width="15.140625" style="2" customWidth="1"/>
    <col min="57" max="16384" width="8.85546875" style="2"/>
  </cols>
  <sheetData>
    <row r="1" spans="3:56">
      <c r="AX1" s="2"/>
    </row>
    <row r="2" spans="3:56" ht="16.7" customHeight="1">
      <c r="C2" s="197" t="s">
        <v>0</v>
      </c>
      <c r="D2" s="197"/>
      <c r="E2" s="197"/>
      <c r="F2" s="6"/>
      <c r="G2" s="7"/>
      <c r="AX2" s="2"/>
    </row>
    <row r="3" spans="3:56" ht="16.7" customHeight="1">
      <c r="C3" s="197"/>
      <c r="D3" s="197"/>
      <c r="E3" s="197"/>
      <c r="F3" s="7"/>
      <c r="G3" s="7"/>
      <c r="AX3" s="2"/>
    </row>
    <row r="4" spans="3:56">
      <c r="AX4" s="2"/>
    </row>
    <row r="5" spans="3:56" ht="21.6" customHeight="1">
      <c r="C5" s="196" t="s">
        <v>1</v>
      </c>
      <c r="D5" s="194"/>
      <c r="E5" s="194"/>
      <c r="F5" s="194"/>
      <c r="G5" s="195"/>
      <c r="H5" s="193" t="s">
        <v>2</v>
      </c>
      <c r="I5" s="194"/>
      <c r="J5" s="194"/>
      <c r="K5" s="195"/>
      <c r="L5" s="193" t="s">
        <v>3</v>
      </c>
      <c r="M5" s="195"/>
      <c r="N5" s="193" t="s">
        <v>4</v>
      </c>
      <c r="O5" s="194"/>
      <c r="P5" s="194"/>
      <c r="Q5" s="194"/>
      <c r="R5" s="194"/>
      <c r="S5" s="194"/>
      <c r="T5" s="194"/>
      <c r="U5" s="194"/>
      <c r="V5" s="194"/>
      <c r="W5" s="195"/>
      <c r="X5" s="193" t="s">
        <v>5</v>
      </c>
      <c r="Y5" s="194"/>
      <c r="Z5" s="194"/>
      <c r="AA5" s="194"/>
      <c r="AB5" s="194"/>
      <c r="AC5" s="194"/>
      <c r="AD5" s="194"/>
      <c r="AE5" s="194"/>
      <c r="AF5" s="194"/>
      <c r="AG5" s="194"/>
      <c r="AH5" s="194"/>
      <c r="AI5" s="194"/>
      <c r="AJ5" s="194"/>
      <c r="AK5" s="194"/>
      <c r="AL5" s="194"/>
      <c r="AM5" s="8"/>
      <c r="AN5" s="9" t="s">
        <v>6</v>
      </c>
      <c r="AO5" s="10"/>
      <c r="AP5" s="10"/>
      <c r="AQ5" s="10"/>
      <c r="AR5" s="10"/>
      <c r="AS5" s="10"/>
      <c r="AT5" s="193" t="s">
        <v>6</v>
      </c>
      <c r="AU5" s="194"/>
      <c r="AV5" s="195"/>
      <c r="AW5" s="11" t="s">
        <v>7</v>
      </c>
      <c r="AX5" s="196" t="s">
        <v>8</v>
      </c>
      <c r="AY5" s="194"/>
      <c r="AZ5" s="194"/>
      <c r="BA5" s="10"/>
      <c r="BB5" s="193" t="s">
        <v>9</v>
      </c>
      <c r="BC5" s="194"/>
      <c r="BD5" s="194"/>
    </row>
    <row r="6" spans="3:56" ht="39.6" customHeight="1">
      <c r="C6" s="12" t="s">
        <v>10</v>
      </c>
      <c r="D6" s="13" t="s">
        <v>11</v>
      </c>
      <c r="E6" s="12" t="s">
        <v>12</v>
      </c>
      <c r="F6" s="12" t="s">
        <v>13</v>
      </c>
      <c r="G6" s="12" t="s">
        <v>14</v>
      </c>
      <c r="H6" s="14" t="s">
        <v>15</v>
      </c>
      <c r="I6" s="14" t="s">
        <v>16</v>
      </c>
      <c r="J6" s="14" t="s">
        <v>17</v>
      </c>
      <c r="K6" s="14" t="s">
        <v>18</v>
      </c>
      <c r="L6" s="12" t="s">
        <v>19</v>
      </c>
      <c r="M6" s="12" t="s">
        <v>20</v>
      </c>
      <c r="N6" s="14" t="s">
        <v>21</v>
      </c>
      <c r="O6" s="14" t="s">
        <v>22</v>
      </c>
      <c r="P6" s="14" t="s">
        <v>23</v>
      </c>
      <c r="Q6" s="14" t="s">
        <v>24</v>
      </c>
      <c r="R6" s="14" t="s">
        <v>25</v>
      </c>
      <c r="S6" s="14" t="s">
        <v>26</v>
      </c>
      <c r="T6" s="14" t="s">
        <v>27</v>
      </c>
      <c r="U6" s="13" t="s">
        <v>28</v>
      </c>
      <c r="V6" s="14" t="s">
        <v>29</v>
      </c>
      <c r="W6" s="13" t="s">
        <v>30</v>
      </c>
      <c r="X6" s="12" t="s">
        <v>31</v>
      </c>
      <c r="Y6" s="12" t="s">
        <v>32</v>
      </c>
      <c r="Z6" s="12" t="s">
        <v>33</v>
      </c>
      <c r="AA6" s="12" t="s">
        <v>34</v>
      </c>
      <c r="AB6" s="12" t="s">
        <v>35</v>
      </c>
      <c r="AC6" s="12" t="s">
        <v>36</v>
      </c>
      <c r="AD6" s="12" t="s">
        <v>37</v>
      </c>
      <c r="AE6" s="13" t="s">
        <v>38</v>
      </c>
      <c r="AF6" s="13" t="s">
        <v>39</v>
      </c>
      <c r="AG6" s="13" t="s">
        <v>40</v>
      </c>
      <c r="AH6" s="13" t="s">
        <v>41</v>
      </c>
      <c r="AI6" s="13" t="s">
        <v>42</v>
      </c>
      <c r="AJ6" s="13" t="s">
        <v>43</v>
      </c>
      <c r="AK6" s="12" t="s">
        <v>44</v>
      </c>
      <c r="AL6" s="12" t="s">
        <v>45</v>
      </c>
      <c r="AM6" s="13" t="s">
        <v>46</v>
      </c>
      <c r="AN6" s="13" t="s">
        <v>22</v>
      </c>
      <c r="AO6" s="13" t="s">
        <v>23</v>
      </c>
      <c r="AP6" s="13" t="s">
        <v>24</v>
      </c>
      <c r="AQ6" s="13" t="s">
        <v>25</v>
      </c>
      <c r="AR6" s="13" t="s">
        <v>47</v>
      </c>
      <c r="AS6" s="13" t="s">
        <v>27</v>
      </c>
      <c r="AT6" s="14" t="s">
        <v>48</v>
      </c>
      <c r="AU6" s="14" t="s">
        <v>49</v>
      </c>
      <c r="AV6" s="14" t="s">
        <v>50</v>
      </c>
      <c r="AW6" s="12" t="s">
        <v>51</v>
      </c>
      <c r="AX6" s="14" t="s">
        <v>52</v>
      </c>
      <c r="AY6" s="13" t="s">
        <v>53</v>
      </c>
      <c r="AZ6" s="14" t="s">
        <v>54</v>
      </c>
      <c r="BA6" s="13" t="s">
        <v>46</v>
      </c>
      <c r="BB6" s="12" t="s">
        <v>55</v>
      </c>
      <c r="BC6" s="12" t="s">
        <v>56</v>
      </c>
      <c r="BD6" s="14" t="s">
        <v>57</v>
      </c>
    </row>
    <row r="7" spans="3:56" ht="105" customHeight="1">
      <c r="C7" s="23">
        <v>1</v>
      </c>
      <c r="D7" s="23" t="e">
        <f ca="1">_xlfn.CONCAT(VLOOKUP(G7,Appoggio!B:E,4,0),"_",VLOOKUP(H7,Appoggio!G:H,2,0),"_",C7)</f>
        <v>#NAME?</v>
      </c>
      <c r="E7" s="23"/>
      <c r="F7" s="23"/>
      <c r="G7" s="23" t="s">
        <v>416</v>
      </c>
      <c r="H7" s="23"/>
      <c r="I7" s="23"/>
      <c r="J7" s="23"/>
      <c r="K7" s="25" t="s">
        <v>429</v>
      </c>
      <c r="L7" s="25" t="s">
        <v>431</v>
      </c>
      <c r="M7" s="25" t="s">
        <v>434</v>
      </c>
      <c r="N7" s="26"/>
      <c r="O7" s="27"/>
      <c r="P7" s="27"/>
      <c r="Q7" s="27"/>
      <c r="R7" s="27"/>
      <c r="S7" s="27"/>
      <c r="T7" s="27"/>
      <c r="U7" s="28">
        <f t="shared" ref="U7:U14" si="0">IF(AND(O7="N.A.",P7="N.A.",Q7="N.A.",R7="N.A.",S7="N.A.",T7="N.A."),"N.A.",MAX(O7:T7))</f>
        <v>0</v>
      </c>
      <c r="V7" s="27"/>
      <c r="W7" s="29">
        <f t="shared" ref="W7:W14" si="1">IF(OR(U7="N.A.",V7="N.A."),"N.A.",U7*V7)</f>
        <v>0</v>
      </c>
      <c r="X7" s="30"/>
      <c r="Y7" s="27"/>
      <c r="Z7" s="27"/>
      <c r="AA7" s="27"/>
      <c r="AB7" s="27"/>
      <c r="AC7" s="27"/>
      <c r="AD7" s="27"/>
      <c r="AE7" s="23" t="str">
        <f>IF(Y7="","",VLOOKUP(Y7,Appoggio!$M$3:$N$7,2,0))</f>
        <v/>
      </c>
      <c r="AF7" s="23" t="str">
        <f>IF(Z7="","",VLOOKUP(Z7,Appoggio!$M$3:$N$7,2,0))</f>
        <v/>
      </c>
      <c r="AG7" s="23" t="str">
        <f>IF(AA7="","",VLOOKUP(AA7,Appoggio!$M$3:$N$7,2,0))</f>
        <v/>
      </c>
      <c r="AH7" s="23" t="str">
        <f>IF(AB7="","",VLOOKUP(AB7,Appoggio!$M$3:$N$7,2,0))</f>
        <v/>
      </c>
      <c r="AI7" s="23" t="str">
        <f>IF(AC7="","",VLOOKUP(AC7,Appoggio!$M$3:$N$7,2,0))</f>
        <v/>
      </c>
      <c r="AJ7" s="23" t="str">
        <f>IF(AD7="","",VLOOKUP(AD7,Appoggio!$M$3:$N$7,2,0))</f>
        <v/>
      </c>
      <c r="AK7" s="30"/>
      <c r="AL7" s="31">
        <v>0</v>
      </c>
      <c r="AM7" s="23">
        <f>IF(AL7="","",VLOOKUP(AL7,Appoggio!$M$3:$N$7,2,0))</f>
        <v>1</v>
      </c>
      <c r="AN7" s="27" t="str">
        <f t="shared" ref="AN7:AS14" si="2">IF(AND(O7="", AE7=""), "", IF(AE7="", O7, IF(O7="", "", O7 * AE7)))</f>
        <v/>
      </c>
      <c r="AO7" s="27" t="str">
        <f t="shared" si="2"/>
        <v/>
      </c>
      <c r="AP7" s="27" t="str">
        <f t="shared" si="2"/>
        <v/>
      </c>
      <c r="AQ7" s="27" t="str">
        <f t="shared" si="2"/>
        <v/>
      </c>
      <c r="AR7" s="27" t="str">
        <f t="shared" si="2"/>
        <v/>
      </c>
      <c r="AS7" s="27" t="str">
        <f t="shared" si="2"/>
        <v/>
      </c>
      <c r="AT7" s="27">
        <f t="shared" ref="AT7:AT14" si="3">MAX(AN7:AS7)</f>
        <v>0</v>
      </c>
      <c r="AU7" s="28">
        <f t="shared" ref="AU7:AU14" si="4">IF(ISBLANK(AL7), V7, AM7 * V7)</f>
        <v>0</v>
      </c>
      <c r="AV7" s="32">
        <f t="shared" ref="AV7:AV14" si="5">AT7*AU7</f>
        <v>0</v>
      </c>
      <c r="AW7" s="33"/>
      <c r="AX7" s="27"/>
      <c r="AY7" s="23" t="str">
        <f>IF(AX7="","",VLOOKUP(AX7,Appoggio!$M$3:$N$7,2,0))</f>
        <v/>
      </c>
      <c r="AZ7" s="27"/>
      <c r="BA7" s="23" t="str">
        <f>IF(AZ7="","",VLOOKUP(AZ7,Appoggio!$M$3:$N$7,2,0))</f>
        <v/>
      </c>
      <c r="BB7" s="23">
        <f t="shared" ref="BB7:BB14" si="6">IF(AY7="",AT7,AT7*AY7)</f>
        <v>0</v>
      </c>
      <c r="BC7" s="23">
        <f t="shared" ref="BC7:BC14" si="7">IF(BA7="",AU7,AU7*BA7)</f>
        <v>0</v>
      </c>
      <c r="BD7" s="29">
        <f t="shared" ref="BD7:BD14" si="8">BB7*BC7</f>
        <v>0</v>
      </c>
    </row>
    <row r="8" spans="3:56" ht="105" customHeight="1">
      <c r="C8" s="23">
        <v>2</v>
      </c>
      <c r="D8" s="23" t="e">
        <f ca="1">_xlfn.CONCAT(VLOOKUP(G8,Appoggio!B:E,4,0),"_",VLOOKUP(H8,Appoggio!G:H,2,0),"_",C8)</f>
        <v>#NAME?</v>
      </c>
      <c r="E8" s="23"/>
      <c r="F8" s="23"/>
      <c r="G8" s="23" t="s">
        <v>416</v>
      </c>
      <c r="H8" s="23"/>
      <c r="I8" s="23"/>
      <c r="J8" s="23"/>
      <c r="K8" s="24"/>
      <c r="L8" s="25" t="s">
        <v>432</v>
      </c>
      <c r="M8" s="25" t="s">
        <v>435</v>
      </c>
      <c r="N8" s="26"/>
      <c r="O8" s="27"/>
      <c r="P8" s="27"/>
      <c r="Q8" s="27"/>
      <c r="R8" s="27"/>
      <c r="S8" s="27"/>
      <c r="T8" s="27"/>
      <c r="U8" s="28">
        <f t="shared" si="0"/>
        <v>0</v>
      </c>
      <c r="V8" s="27"/>
      <c r="W8" s="29">
        <f t="shared" si="1"/>
        <v>0</v>
      </c>
      <c r="X8" s="30"/>
      <c r="Y8" s="27"/>
      <c r="Z8" s="27"/>
      <c r="AA8" s="27"/>
      <c r="AB8" s="27"/>
      <c r="AC8" s="27"/>
      <c r="AD8" s="27"/>
      <c r="AE8" s="23" t="str">
        <f>IF(Y8="","",VLOOKUP(Y8,Appoggio!$M$3:$N$7,2,0))</f>
        <v/>
      </c>
      <c r="AF8" s="23" t="str">
        <f>IF(Z8="","",VLOOKUP(Z8,Appoggio!$M$3:$N$7,2,0))</f>
        <v/>
      </c>
      <c r="AG8" s="23" t="str">
        <f>IF(AA8="","",VLOOKUP(AA8,Appoggio!$M$3:$N$7,2,0))</f>
        <v/>
      </c>
      <c r="AH8" s="23" t="str">
        <f>IF(AB8="","",VLOOKUP(AB8,Appoggio!$M$3:$N$7,2,0))</f>
        <v/>
      </c>
      <c r="AI8" s="23" t="str">
        <f>IF(AC8="","",VLOOKUP(AC8,Appoggio!$M$3:$N$7,2,0))</f>
        <v/>
      </c>
      <c r="AJ8" s="23" t="str">
        <f>IF(AD8="","",VLOOKUP(AD8,Appoggio!$M$3:$N$7,2,0))</f>
        <v/>
      </c>
      <c r="AK8" s="30"/>
      <c r="AL8" s="31">
        <v>0</v>
      </c>
      <c r="AM8" s="23">
        <f>IF(AL8="","",VLOOKUP(AL8,Appoggio!$M$3:$N$7,2,0))</f>
        <v>1</v>
      </c>
      <c r="AN8" s="27" t="str">
        <f t="shared" si="2"/>
        <v/>
      </c>
      <c r="AO8" s="27" t="str">
        <f t="shared" si="2"/>
        <v/>
      </c>
      <c r="AP8" s="27" t="str">
        <f t="shared" si="2"/>
        <v/>
      </c>
      <c r="AQ8" s="27" t="str">
        <f t="shared" si="2"/>
        <v/>
      </c>
      <c r="AR8" s="27" t="str">
        <f t="shared" si="2"/>
        <v/>
      </c>
      <c r="AS8" s="27" t="str">
        <f t="shared" si="2"/>
        <v/>
      </c>
      <c r="AT8" s="27">
        <f t="shared" si="3"/>
        <v>0</v>
      </c>
      <c r="AU8" s="28">
        <f t="shared" si="4"/>
        <v>0</v>
      </c>
      <c r="AV8" s="32">
        <f t="shared" si="5"/>
        <v>0</v>
      </c>
      <c r="AW8" s="33"/>
      <c r="AX8" s="27"/>
      <c r="AY8" s="23" t="str">
        <f>IF(AX8="","",VLOOKUP(AX8,Appoggio!$M$3:$N$7,2,0))</f>
        <v/>
      </c>
      <c r="AZ8" s="27"/>
      <c r="BA8" s="23" t="str">
        <f>IF(AZ8="","",VLOOKUP(AZ8,Appoggio!$M$3:$N$7,2,0))</f>
        <v/>
      </c>
      <c r="BB8" s="23">
        <f t="shared" si="6"/>
        <v>0</v>
      </c>
      <c r="BC8" s="23">
        <f t="shared" si="7"/>
        <v>0</v>
      </c>
      <c r="BD8" s="29">
        <f t="shared" si="8"/>
        <v>0</v>
      </c>
    </row>
    <row r="9" spans="3:56" ht="105" customHeight="1">
      <c r="C9" s="23">
        <v>3</v>
      </c>
      <c r="D9" s="23" t="e">
        <f ca="1">_xlfn.CONCAT(VLOOKUP(G9,Appoggio!B:E,4,0),"_",VLOOKUP(H9,Appoggio!G:H,2,0),"_",C9)</f>
        <v>#NAME?</v>
      </c>
      <c r="E9" s="23"/>
      <c r="F9" s="23"/>
      <c r="G9" s="23" t="s">
        <v>416</v>
      </c>
      <c r="H9" s="23"/>
      <c r="I9" s="23"/>
      <c r="J9" s="23"/>
      <c r="K9" s="24"/>
      <c r="L9" s="25" t="s">
        <v>428</v>
      </c>
      <c r="M9" s="25" t="s">
        <v>436</v>
      </c>
      <c r="N9" s="26"/>
      <c r="O9" s="27"/>
      <c r="P9" s="27"/>
      <c r="Q9" s="27"/>
      <c r="R9" s="27"/>
      <c r="S9" s="27"/>
      <c r="T9" s="27"/>
      <c r="U9" s="28">
        <f t="shared" si="0"/>
        <v>0</v>
      </c>
      <c r="V9" s="27"/>
      <c r="W9" s="29">
        <f t="shared" si="1"/>
        <v>0</v>
      </c>
      <c r="X9" s="30"/>
      <c r="Y9" s="27"/>
      <c r="Z9" s="27"/>
      <c r="AA9" s="27"/>
      <c r="AB9" s="27"/>
      <c r="AC9" s="27"/>
      <c r="AD9" s="27"/>
      <c r="AE9" s="23" t="str">
        <f>IF(Y9="","",VLOOKUP(Y9,Appoggio!$M$3:$N$7,2,0))</f>
        <v/>
      </c>
      <c r="AF9" s="23" t="str">
        <f>IF(Z9="","",VLOOKUP(Z9,Appoggio!$M$3:$N$7,2,0))</f>
        <v/>
      </c>
      <c r="AG9" s="23" t="str">
        <f>IF(AA9="","",VLOOKUP(AA9,Appoggio!$M$3:$N$7,2,0))</f>
        <v/>
      </c>
      <c r="AH9" s="23" t="str">
        <f>IF(AB9="","",VLOOKUP(AB9,Appoggio!$M$3:$N$7,2,0))</f>
        <v/>
      </c>
      <c r="AI9" s="23" t="str">
        <f>IF(AC9="","",VLOOKUP(AC9,Appoggio!$M$3:$N$7,2,0))</f>
        <v/>
      </c>
      <c r="AJ9" s="23" t="str">
        <f>IF(AD9="","",VLOOKUP(AD9,Appoggio!$M$3:$N$7,2,0))</f>
        <v/>
      </c>
      <c r="AK9" s="30"/>
      <c r="AL9" s="31">
        <v>0</v>
      </c>
      <c r="AM9" s="23">
        <f>IF(AL9="","",VLOOKUP(AL9,Appoggio!$M$3:$N$7,2,0))</f>
        <v>1</v>
      </c>
      <c r="AN9" s="27" t="str">
        <f t="shared" si="2"/>
        <v/>
      </c>
      <c r="AO9" s="27" t="str">
        <f t="shared" si="2"/>
        <v/>
      </c>
      <c r="AP9" s="27" t="str">
        <f t="shared" si="2"/>
        <v/>
      </c>
      <c r="AQ9" s="27" t="str">
        <f t="shared" si="2"/>
        <v/>
      </c>
      <c r="AR9" s="27" t="str">
        <f t="shared" si="2"/>
        <v/>
      </c>
      <c r="AS9" s="27" t="str">
        <f t="shared" si="2"/>
        <v/>
      </c>
      <c r="AT9" s="27">
        <f t="shared" si="3"/>
        <v>0</v>
      </c>
      <c r="AU9" s="28">
        <f t="shared" si="4"/>
        <v>0</v>
      </c>
      <c r="AV9" s="32">
        <f t="shared" si="5"/>
        <v>0</v>
      </c>
      <c r="AW9" s="33"/>
      <c r="AX9" s="27"/>
      <c r="AY9" s="23" t="str">
        <f>IF(AX9="","",VLOOKUP(AX9,Appoggio!$M$3:$N$7,2,0))</f>
        <v/>
      </c>
      <c r="AZ9" s="27"/>
      <c r="BA9" s="23" t="str">
        <f>IF(AZ9="","",VLOOKUP(AZ9,Appoggio!$M$3:$N$7,2,0))</f>
        <v/>
      </c>
      <c r="BB9" s="23">
        <f t="shared" si="6"/>
        <v>0</v>
      </c>
      <c r="BC9" s="23">
        <f t="shared" si="7"/>
        <v>0</v>
      </c>
      <c r="BD9" s="29">
        <f t="shared" si="8"/>
        <v>0</v>
      </c>
    </row>
    <row r="10" spans="3:56" ht="105" customHeight="1">
      <c r="C10" s="23">
        <v>4</v>
      </c>
      <c r="D10" s="23" t="e">
        <f ca="1">_xlfn.CONCAT(VLOOKUP(G10,Appoggio!B:E,4,0),"_",VLOOKUP(H10,Appoggio!G:H,2,0),"_",C10)</f>
        <v>#NAME?</v>
      </c>
      <c r="E10" s="23"/>
      <c r="F10" s="23"/>
      <c r="G10" s="23" t="s">
        <v>416</v>
      </c>
      <c r="H10" s="23"/>
      <c r="I10" s="23"/>
      <c r="J10" s="23"/>
      <c r="K10" s="24"/>
      <c r="L10" s="25" t="s">
        <v>433</v>
      </c>
      <c r="M10" s="25" t="s">
        <v>437</v>
      </c>
      <c r="N10" s="26"/>
      <c r="O10" s="27"/>
      <c r="P10" s="27"/>
      <c r="Q10" s="27"/>
      <c r="R10" s="27"/>
      <c r="S10" s="27"/>
      <c r="T10" s="27"/>
      <c r="U10" s="28">
        <f t="shared" si="0"/>
        <v>0</v>
      </c>
      <c r="V10" s="27"/>
      <c r="W10" s="29">
        <f t="shared" si="1"/>
        <v>0</v>
      </c>
      <c r="X10" s="30"/>
      <c r="Y10" s="27"/>
      <c r="Z10" s="27"/>
      <c r="AA10" s="27"/>
      <c r="AB10" s="27"/>
      <c r="AC10" s="27"/>
      <c r="AD10" s="27"/>
      <c r="AE10" s="23" t="str">
        <f>IF(Y10="","",VLOOKUP(Y10,Appoggio!$M$3:$N$7,2,0))</f>
        <v/>
      </c>
      <c r="AF10" s="23" t="str">
        <f>IF(Z10="","",VLOOKUP(Z10,Appoggio!$M$3:$N$7,2,0))</f>
        <v/>
      </c>
      <c r="AG10" s="23" t="str">
        <f>IF(AA10="","",VLOOKUP(AA10,Appoggio!$M$3:$N$7,2,0))</f>
        <v/>
      </c>
      <c r="AH10" s="23" t="str">
        <f>IF(AB10="","",VLOOKUP(AB10,Appoggio!$M$3:$N$7,2,0))</f>
        <v/>
      </c>
      <c r="AI10" s="23" t="str">
        <f>IF(AC10="","",VLOOKUP(AC10,Appoggio!$M$3:$N$7,2,0))</f>
        <v/>
      </c>
      <c r="AJ10" s="23" t="str">
        <f>IF(AD10="","",VLOOKUP(AD10,Appoggio!$M$3:$N$7,2,0))</f>
        <v/>
      </c>
      <c r="AK10" s="30"/>
      <c r="AL10" s="31">
        <v>0</v>
      </c>
      <c r="AM10" s="23">
        <f>IF(AL10="","",VLOOKUP(AL10,Appoggio!$M$3:$N$7,2,0))</f>
        <v>1</v>
      </c>
      <c r="AN10" s="27" t="str">
        <f t="shared" si="2"/>
        <v/>
      </c>
      <c r="AO10" s="27" t="str">
        <f t="shared" si="2"/>
        <v/>
      </c>
      <c r="AP10" s="27" t="str">
        <f t="shared" si="2"/>
        <v/>
      </c>
      <c r="AQ10" s="27" t="str">
        <f t="shared" si="2"/>
        <v/>
      </c>
      <c r="AR10" s="27" t="str">
        <f t="shared" si="2"/>
        <v/>
      </c>
      <c r="AS10" s="27" t="str">
        <f t="shared" si="2"/>
        <v/>
      </c>
      <c r="AT10" s="27">
        <f t="shared" si="3"/>
        <v>0</v>
      </c>
      <c r="AU10" s="28">
        <f t="shared" si="4"/>
        <v>0</v>
      </c>
      <c r="AV10" s="32">
        <f t="shared" si="5"/>
        <v>0</v>
      </c>
      <c r="AW10" s="33"/>
      <c r="AX10" s="27"/>
      <c r="AY10" s="23" t="str">
        <f>IF(AX10="","",VLOOKUP(AX10,Appoggio!$M$3:$N$7,2,0))</f>
        <v/>
      </c>
      <c r="AZ10" s="27"/>
      <c r="BA10" s="23" t="str">
        <f>IF(AZ10="","",VLOOKUP(AZ10,Appoggio!$M$3:$N$7,2,0))</f>
        <v/>
      </c>
      <c r="BB10" s="23">
        <f t="shared" si="6"/>
        <v>0</v>
      </c>
      <c r="BC10" s="23">
        <f t="shared" si="7"/>
        <v>0</v>
      </c>
      <c r="BD10" s="29">
        <f t="shared" si="8"/>
        <v>0</v>
      </c>
    </row>
    <row r="11" spans="3:56" ht="105" customHeight="1">
      <c r="C11" s="23" t="s">
        <v>430</v>
      </c>
      <c r="D11" s="23" t="e">
        <f ca="1">_xlfn.CONCAT(VLOOKUP(G11,Appoggio!B:E,4,0),"_",VLOOKUP(H11,Appoggio!G:H,2,0),"_",C11)</f>
        <v>#NAME?</v>
      </c>
      <c r="E11" s="23"/>
      <c r="F11" s="23"/>
      <c r="G11" s="23" t="s">
        <v>416</v>
      </c>
      <c r="H11" s="23"/>
      <c r="I11" s="23"/>
      <c r="J11" s="23"/>
      <c r="K11" s="24"/>
      <c r="L11" s="25" t="s">
        <v>406</v>
      </c>
      <c r="M11" s="25" t="s">
        <v>407</v>
      </c>
      <c r="N11" s="26"/>
      <c r="O11" s="27"/>
      <c r="P11" s="27"/>
      <c r="Q11" s="27"/>
      <c r="R11" s="27"/>
      <c r="S11" s="27"/>
      <c r="T11" s="27"/>
      <c r="U11" s="28">
        <f t="shared" si="0"/>
        <v>0</v>
      </c>
      <c r="V11" s="27"/>
      <c r="W11" s="29">
        <f t="shared" si="1"/>
        <v>0</v>
      </c>
      <c r="X11" s="30"/>
      <c r="Y11" s="27"/>
      <c r="Z11" s="27"/>
      <c r="AA11" s="27"/>
      <c r="AB11" s="27"/>
      <c r="AC11" s="27"/>
      <c r="AD11" s="27"/>
      <c r="AE11" s="23" t="str">
        <f>IF(Y11="","",VLOOKUP(Y11,Appoggio!$M$3:$N$7,2,0))</f>
        <v/>
      </c>
      <c r="AF11" s="23" t="str">
        <f>IF(Z11="","",VLOOKUP(Z11,Appoggio!$M$3:$N$7,2,0))</f>
        <v/>
      </c>
      <c r="AG11" s="23" t="str">
        <f>IF(AA11="","",VLOOKUP(AA11,Appoggio!$M$3:$N$7,2,0))</f>
        <v/>
      </c>
      <c r="AH11" s="23" t="str">
        <f>IF(AB11="","",VLOOKUP(AB11,Appoggio!$M$3:$N$7,2,0))</f>
        <v/>
      </c>
      <c r="AI11" s="23" t="str">
        <f>IF(AC11="","",VLOOKUP(AC11,Appoggio!$M$3:$N$7,2,0))</f>
        <v/>
      </c>
      <c r="AJ11" s="23" t="str">
        <f>IF(AD11="","",VLOOKUP(AD11,Appoggio!$M$3:$N$7,2,0))</f>
        <v/>
      </c>
      <c r="AK11" s="30"/>
      <c r="AL11" s="31">
        <v>0</v>
      </c>
      <c r="AM11" s="23">
        <f>IF(AL11="","",VLOOKUP(AL11,Appoggio!$M$3:$N$7,2,0))</f>
        <v>1</v>
      </c>
      <c r="AN11" s="27" t="str">
        <f t="shared" si="2"/>
        <v/>
      </c>
      <c r="AO11" s="27" t="str">
        <f t="shared" si="2"/>
        <v/>
      </c>
      <c r="AP11" s="27" t="str">
        <f t="shared" si="2"/>
        <v/>
      </c>
      <c r="AQ11" s="27" t="str">
        <f t="shared" si="2"/>
        <v/>
      </c>
      <c r="AR11" s="27" t="str">
        <f t="shared" si="2"/>
        <v/>
      </c>
      <c r="AS11" s="27" t="str">
        <f t="shared" si="2"/>
        <v/>
      </c>
      <c r="AT11" s="27">
        <f t="shared" si="3"/>
        <v>0</v>
      </c>
      <c r="AU11" s="28">
        <f t="shared" si="4"/>
        <v>0</v>
      </c>
      <c r="AV11" s="32">
        <f t="shared" si="5"/>
        <v>0</v>
      </c>
      <c r="AW11" s="33"/>
      <c r="AX11" s="27"/>
      <c r="AY11" s="23" t="str">
        <f>IF(AX11="","",VLOOKUP(AX11,Appoggio!$M$3:$N$7,2,0))</f>
        <v/>
      </c>
      <c r="AZ11" s="27"/>
      <c r="BA11" s="23" t="str">
        <f>IF(AZ11="","",VLOOKUP(AZ11,Appoggio!$M$3:$N$7,2,0))</f>
        <v/>
      </c>
      <c r="BB11" s="23">
        <f t="shared" si="6"/>
        <v>0</v>
      </c>
      <c r="BC11" s="23">
        <f t="shared" si="7"/>
        <v>0</v>
      </c>
      <c r="BD11" s="29">
        <f t="shared" si="8"/>
        <v>0</v>
      </c>
    </row>
    <row r="12" spans="3:56" ht="140.25">
      <c r="C12" s="23">
        <v>6</v>
      </c>
      <c r="D12" s="23" t="e">
        <f ca="1">_xlfn.CONCAT(VLOOKUP(G12,Appoggio!B:E,4,0),"_",VLOOKUP(H12,Appoggio!G:H,2,0),"_",C12)</f>
        <v>#NAME?</v>
      </c>
      <c r="E12" s="23"/>
      <c r="F12" s="23"/>
      <c r="G12" s="23" t="s">
        <v>416</v>
      </c>
      <c r="H12" s="23"/>
      <c r="I12" s="23"/>
      <c r="J12" s="23"/>
      <c r="K12" s="24"/>
      <c r="L12" s="25" t="s">
        <v>408</v>
      </c>
      <c r="M12" s="25" t="s">
        <v>409</v>
      </c>
      <c r="N12" s="26"/>
      <c r="O12" s="27"/>
      <c r="P12" s="27"/>
      <c r="Q12" s="27"/>
      <c r="R12" s="27"/>
      <c r="S12" s="27"/>
      <c r="T12" s="27"/>
      <c r="U12" s="28">
        <f t="shared" si="0"/>
        <v>0</v>
      </c>
      <c r="V12" s="27"/>
      <c r="W12" s="29">
        <f t="shared" si="1"/>
        <v>0</v>
      </c>
      <c r="X12" s="30"/>
      <c r="Y12" s="27"/>
      <c r="Z12" s="27"/>
      <c r="AA12" s="27"/>
      <c r="AB12" s="27"/>
      <c r="AC12" s="27"/>
      <c r="AD12" s="27"/>
      <c r="AE12" s="23" t="str">
        <f>IF(Y12="","",VLOOKUP(Y12,Appoggio!$M$3:$N$7,2,0))</f>
        <v/>
      </c>
      <c r="AF12" s="23" t="str">
        <f>IF(Z12="","",VLOOKUP(Z12,Appoggio!$M$3:$N$7,2,0))</f>
        <v/>
      </c>
      <c r="AG12" s="23" t="str">
        <f>IF(AA12="","",VLOOKUP(AA12,Appoggio!$M$3:$N$7,2,0))</f>
        <v/>
      </c>
      <c r="AH12" s="23" t="str">
        <f>IF(AB12="","",VLOOKUP(AB12,Appoggio!$M$3:$N$7,2,0))</f>
        <v/>
      </c>
      <c r="AI12" s="23" t="str">
        <f>IF(AC12="","",VLOOKUP(AC12,Appoggio!$M$3:$N$7,2,0))</f>
        <v/>
      </c>
      <c r="AJ12" s="23" t="str">
        <f>IF(AD12="","",VLOOKUP(AD12,Appoggio!$M$3:$N$7,2,0))</f>
        <v/>
      </c>
      <c r="AK12" s="30"/>
      <c r="AL12" s="31">
        <v>0</v>
      </c>
      <c r="AM12" s="23">
        <f>IF(AL12="","",VLOOKUP(AL12,Appoggio!$M$3:$N$7,2,0))</f>
        <v>1</v>
      </c>
      <c r="AN12" s="27" t="str">
        <f t="shared" si="2"/>
        <v/>
      </c>
      <c r="AO12" s="27" t="str">
        <f t="shared" si="2"/>
        <v/>
      </c>
      <c r="AP12" s="27" t="str">
        <f t="shared" si="2"/>
        <v/>
      </c>
      <c r="AQ12" s="27" t="str">
        <f t="shared" si="2"/>
        <v/>
      </c>
      <c r="AR12" s="27" t="str">
        <f t="shared" si="2"/>
        <v/>
      </c>
      <c r="AS12" s="27" t="str">
        <f t="shared" si="2"/>
        <v/>
      </c>
      <c r="AT12" s="27">
        <f t="shared" si="3"/>
        <v>0</v>
      </c>
      <c r="AU12" s="28">
        <f t="shared" si="4"/>
        <v>0</v>
      </c>
      <c r="AV12" s="32">
        <f t="shared" si="5"/>
        <v>0</v>
      </c>
      <c r="AW12" s="33"/>
      <c r="AX12" s="27"/>
      <c r="AY12" s="23" t="str">
        <f>IF(AX12="","",VLOOKUP(AX12,Appoggio!$M$3:$N$7,2,0))</f>
        <v/>
      </c>
      <c r="AZ12" s="27"/>
      <c r="BA12" s="23" t="str">
        <f>IF(AZ12="","",VLOOKUP(AZ12,Appoggio!$M$3:$N$7,2,0))</f>
        <v/>
      </c>
      <c r="BB12" s="23">
        <f t="shared" si="6"/>
        <v>0</v>
      </c>
      <c r="BC12" s="23">
        <f t="shared" si="7"/>
        <v>0</v>
      </c>
      <c r="BD12" s="29">
        <f t="shared" si="8"/>
        <v>0</v>
      </c>
    </row>
    <row r="13" spans="3:56" ht="229.5">
      <c r="C13" s="23">
        <v>7</v>
      </c>
      <c r="D13" s="23" t="e">
        <f ca="1">_xlfn.CONCAT(VLOOKUP(G13,Appoggio!B:E,4,0),"_",VLOOKUP(H13,Appoggio!G:H,2,0),"_",C13)</f>
        <v>#NAME?</v>
      </c>
      <c r="E13" s="23"/>
      <c r="F13" s="23"/>
      <c r="G13" s="23" t="s">
        <v>416</v>
      </c>
      <c r="H13" s="23"/>
      <c r="I13" s="23"/>
      <c r="J13" s="23"/>
      <c r="K13" s="24" t="s">
        <v>410</v>
      </c>
      <c r="L13" s="25" t="s">
        <v>411</v>
      </c>
      <c r="M13" s="25" t="s">
        <v>412</v>
      </c>
      <c r="N13" s="26"/>
      <c r="O13" s="27"/>
      <c r="P13" s="27"/>
      <c r="Q13" s="27"/>
      <c r="R13" s="27"/>
      <c r="S13" s="27"/>
      <c r="T13" s="27"/>
      <c r="U13" s="28">
        <f t="shared" si="0"/>
        <v>0</v>
      </c>
      <c r="V13" s="27"/>
      <c r="W13" s="29">
        <f t="shared" si="1"/>
        <v>0</v>
      </c>
      <c r="X13" s="30"/>
      <c r="Y13" s="27"/>
      <c r="Z13" s="27"/>
      <c r="AA13" s="27"/>
      <c r="AB13" s="27"/>
      <c r="AC13" s="27"/>
      <c r="AD13" s="27"/>
      <c r="AE13" s="23" t="str">
        <f>IF(Y13="","",VLOOKUP(Y13,Appoggio!$M$3:$N$7,2,0))</f>
        <v/>
      </c>
      <c r="AF13" s="23" t="str">
        <f>IF(Z13="","",VLOOKUP(Z13,Appoggio!$M$3:$N$7,2,0))</f>
        <v/>
      </c>
      <c r="AG13" s="23" t="str">
        <f>IF(AA13="","",VLOOKUP(AA13,Appoggio!$M$3:$N$7,2,0))</f>
        <v/>
      </c>
      <c r="AH13" s="23" t="str">
        <f>IF(AB13="","",VLOOKUP(AB13,Appoggio!$M$3:$N$7,2,0))</f>
        <v/>
      </c>
      <c r="AI13" s="23" t="str">
        <f>IF(AC13="","",VLOOKUP(AC13,Appoggio!$M$3:$N$7,2,0))</f>
        <v/>
      </c>
      <c r="AJ13" s="23" t="str">
        <f>IF(AD13="","",VLOOKUP(AD13,Appoggio!$M$3:$N$7,2,0))</f>
        <v/>
      </c>
      <c r="AK13" s="30"/>
      <c r="AL13" s="31">
        <v>0</v>
      </c>
      <c r="AM13" s="23">
        <f>IF(AL13="","",VLOOKUP(AL13,Appoggio!$M$3:$N$7,2,0))</f>
        <v>1</v>
      </c>
      <c r="AN13" s="27" t="str">
        <f t="shared" si="2"/>
        <v/>
      </c>
      <c r="AO13" s="27" t="str">
        <f t="shared" si="2"/>
        <v/>
      </c>
      <c r="AP13" s="27" t="str">
        <f t="shared" si="2"/>
        <v/>
      </c>
      <c r="AQ13" s="27" t="str">
        <f t="shared" si="2"/>
        <v/>
      </c>
      <c r="AR13" s="27" t="str">
        <f t="shared" si="2"/>
        <v/>
      </c>
      <c r="AS13" s="27" t="str">
        <f t="shared" si="2"/>
        <v/>
      </c>
      <c r="AT13" s="27">
        <f t="shared" si="3"/>
        <v>0</v>
      </c>
      <c r="AU13" s="28">
        <f t="shared" si="4"/>
        <v>0</v>
      </c>
      <c r="AV13" s="32">
        <f t="shared" si="5"/>
        <v>0</v>
      </c>
      <c r="AW13" s="33"/>
      <c r="AX13" s="27"/>
      <c r="AY13" s="23" t="str">
        <f>IF(AX13="","",VLOOKUP(AX13,Appoggio!$M$3:$N$7,2,0))</f>
        <v/>
      </c>
      <c r="AZ13" s="27"/>
      <c r="BA13" s="23" t="str">
        <f>IF(AZ13="","",VLOOKUP(AZ13,Appoggio!$M$3:$N$7,2,0))</f>
        <v/>
      </c>
      <c r="BB13" s="23">
        <f t="shared" si="6"/>
        <v>0</v>
      </c>
      <c r="BC13" s="23">
        <f t="shared" si="7"/>
        <v>0</v>
      </c>
      <c r="BD13" s="29">
        <f t="shared" si="8"/>
        <v>0</v>
      </c>
    </row>
    <row r="14" spans="3:56" ht="242.25">
      <c r="C14" s="23">
        <v>8</v>
      </c>
      <c r="D14" s="23" t="e">
        <f ca="1">_xlfn.CONCAT(VLOOKUP(G14,Appoggio!B:E,4,0),"_",VLOOKUP(H14,Appoggio!G:H,2,0),"_",C14)</f>
        <v>#NAME?</v>
      </c>
      <c r="E14" s="23"/>
      <c r="F14" s="23"/>
      <c r="G14" s="23" t="s">
        <v>416</v>
      </c>
      <c r="H14" s="23"/>
      <c r="I14" s="23"/>
      <c r="J14" s="23"/>
      <c r="K14" s="24" t="s">
        <v>413</v>
      </c>
      <c r="L14" s="25" t="s">
        <v>414</v>
      </c>
      <c r="M14" s="25" t="s">
        <v>415</v>
      </c>
      <c r="N14" s="26"/>
      <c r="O14" s="27"/>
      <c r="P14" s="27"/>
      <c r="Q14" s="27"/>
      <c r="R14" s="27"/>
      <c r="S14" s="27"/>
      <c r="T14" s="27"/>
      <c r="U14" s="28">
        <f t="shared" si="0"/>
        <v>0</v>
      </c>
      <c r="V14" s="27"/>
      <c r="W14" s="29">
        <f t="shared" si="1"/>
        <v>0</v>
      </c>
      <c r="X14" s="30"/>
      <c r="Y14" s="27"/>
      <c r="Z14" s="27"/>
      <c r="AA14" s="27"/>
      <c r="AB14" s="27"/>
      <c r="AC14" s="27"/>
      <c r="AD14" s="27"/>
      <c r="AE14" s="23" t="str">
        <f>IF(Y14="","",VLOOKUP(Y14,Appoggio!$M$3:$N$7,2,0))</f>
        <v/>
      </c>
      <c r="AF14" s="23" t="str">
        <f>IF(Z14="","",VLOOKUP(Z14,Appoggio!$M$3:$N$7,2,0))</f>
        <v/>
      </c>
      <c r="AG14" s="23" t="str">
        <f>IF(AA14="","",VLOOKUP(AA14,Appoggio!$M$3:$N$7,2,0))</f>
        <v/>
      </c>
      <c r="AH14" s="23" t="str">
        <f>IF(AB14="","",VLOOKUP(AB14,Appoggio!$M$3:$N$7,2,0))</f>
        <v/>
      </c>
      <c r="AI14" s="23" t="str">
        <f>IF(AC14="","",VLOOKUP(AC14,Appoggio!$M$3:$N$7,2,0))</f>
        <v/>
      </c>
      <c r="AJ14" s="23" t="str">
        <f>IF(AD14="","",VLOOKUP(AD14,Appoggio!$M$3:$N$7,2,0))</f>
        <v/>
      </c>
      <c r="AK14" s="30"/>
      <c r="AL14" s="31">
        <v>0</v>
      </c>
      <c r="AM14" s="23">
        <f>IF(AL14="","",VLOOKUP(AL14,Appoggio!$M$3:$N$7,2,0))</f>
        <v>1</v>
      </c>
      <c r="AN14" s="27" t="str">
        <f t="shared" si="2"/>
        <v/>
      </c>
      <c r="AO14" s="27" t="str">
        <f t="shared" si="2"/>
        <v/>
      </c>
      <c r="AP14" s="27" t="str">
        <f t="shared" si="2"/>
        <v/>
      </c>
      <c r="AQ14" s="27" t="str">
        <f t="shared" si="2"/>
        <v/>
      </c>
      <c r="AR14" s="27" t="str">
        <f t="shared" si="2"/>
        <v/>
      </c>
      <c r="AS14" s="27" t="str">
        <f t="shared" si="2"/>
        <v/>
      </c>
      <c r="AT14" s="27">
        <f t="shared" si="3"/>
        <v>0</v>
      </c>
      <c r="AU14" s="28">
        <f t="shared" si="4"/>
        <v>0</v>
      </c>
      <c r="AV14" s="32">
        <f t="shared" si="5"/>
        <v>0</v>
      </c>
      <c r="AW14" s="33"/>
      <c r="AX14" s="27"/>
      <c r="AY14" s="23" t="str">
        <f>IF(AX14="","",VLOOKUP(AX14,Appoggio!$M$3:$N$7,2,0))</f>
        <v/>
      </c>
      <c r="AZ14" s="27"/>
      <c r="BA14" s="23" t="str">
        <f>IF(AZ14="","",VLOOKUP(AZ14,Appoggio!$M$3:$N$7,2,0))</f>
        <v/>
      </c>
      <c r="BB14" s="23">
        <f t="shared" si="6"/>
        <v>0</v>
      </c>
      <c r="BC14" s="23">
        <f t="shared" si="7"/>
        <v>0</v>
      </c>
      <c r="BD14" s="29">
        <f t="shared" si="8"/>
        <v>0</v>
      </c>
    </row>
  </sheetData>
  <dataConsolidate/>
  <mergeCells count="9">
    <mergeCell ref="AT5:AV5"/>
    <mergeCell ref="AX5:AZ5"/>
    <mergeCell ref="BB5:BD5"/>
    <mergeCell ref="C2:E3"/>
    <mergeCell ref="C5:G5"/>
    <mergeCell ref="H5:K5"/>
    <mergeCell ref="L5:M5"/>
    <mergeCell ref="N5:W5"/>
    <mergeCell ref="X5:AL5"/>
  </mergeCells>
  <conditionalFormatting sqref="W7:W14 AV7:AV14 BD7:BD14">
    <cfRule type="cellIs" dxfId="8" priority="1" operator="between">
      <formula>0</formula>
      <formula>9</formula>
    </cfRule>
    <cfRule type="cellIs" dxfId="7" priority="2" operator="between">
      <formula>10</formula>
      <formula>17</formula>
    </cfRule>
    <cfRule type="cellIs" dxfId="6" priority="3" operator="between">
      <formula>18</formula>
      <formula>27</formula>
    </cfRule>
    <cfRule type="cellIs" dxfId="5" priority="4" operator="between">
      <formula>28</formula>
      <formula>60</formula>
    </cfRule>
  </conditionalFormatting>
  <conditionalFormatting sqref="Y7:AD14 AL7:AL14 AX7:AX14 AZ7:AZ14">
    <cfRule type="beginsWith" dxfId="4" priority="5" operator="beginsWith" text="0">
      <formula>LEFT(Y7,LEN("0"))="0"</formula>
    </cfRule>
    <cfRule type="cellIs" priority="6" operator="lessThan">
      <formula>0</formula>
    </cfRule>
    <cfRule type="cellIs" dxfId="3" priority="7" operator="equal">
      <formula>1</formula>
    </cfRule>
    <cfRule type="cellIs" dxfId="2" priority="8" operator="equal">
      <formula>2</formula>
    </cfRule>
    <cfRule type="cellIs" dxfId="1" priority="9" operator="equal">
      <formula>3</formula>
    </cfRule>
    <cfRule type="cellIs" dxfId="0" priority="10" operator="equal">
      <formula>4</formula>
    </cfRule>
  </conditionalFormatting>
  <dataValidations count="6">
    <dataValidation type="list" allowBlank="1" showInputMessage="1" showErrorMessage="1" sqref="O7:T14">
      <formula1>"N.A,2,3,5,7,10"</formula1>
    </dataValidation>
    <dataValidation type="list" allowBlank="1" showInputMessage="1" showErrorMessage="1" sqref="V7:V14">
      <formula1>"N.A,2,3,4,5,6"</formula1>
    </dataValidation>
    <dataValidation type="list" allowBlank="1" showInputMessage="1" showErrorMessage="1" sqref="Y7:AD14">
      <formula1>"4,3,2,1,0"</formula1>
    </dataValidation>
    <dataValidation type="list" allowBlank="1" showInputMessage="1" showErrorMessage="1" sqref="I7">
      <formula1>(Rischio_Clinico_Sanitario1)+(Rischio_Esterno1)+(Rischio_Finanziario1)+(Rischio_Strategico1)+(Rischio_Operativo1)+(Rischio_di_Compliance1)</formula1>
    </dataValidation>
    <dataValidation type="list" allowBlank="1" showInputMessage="1" showErrorMessage="1" sqref="H8">
      <formula1>CATEGORIE</formula1>
    </dataValidation>
    <dataValidation type="list" allowBlank="1" showInputMessage="1" showErrorMessage="1" sqref="H7">
      <formula1>cATEGORIA_RISCHIO</formula1>
    </dataValidation>
  </dataValidations>
  <pageMargins left="0.7" right="0.7" top="0.75" bottom="0.75" header="0.3" footer="0.3"/>
  <pageSetup paperSize="9" orientation="portrait" verticalDpi="203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>
          <x14:formula1>
            <xm:f>Appoggio!$B$3:$B$35</xm:f>
          </x14:formula1>
          <xm:sqref>G1:G6 G15:G1048576</xm:sqref>
        </x14:dataValidation>
        <x14:dataValidation type="list" allowBlank="1" showInputMessage="1" showErrorMessage="1">
          <x14:formula1>
            <xm:f>Appoggio!$Q$3:$Q$51</xm:f>
          </x14:formula1>
          <xm:sqref>I1:I4 I6 I15:I1048576</xm:sqref>
        </x14:dataValidation>
        <x14:dataValidation type="list" allowBlank="1" showInputMessage="1" showErrorMessage="1">
          <x14:formula1>
            <xm:f>Appoggio!$G$3:$G$8</xm:f>
          </x14:formula1>
          <xm:sqref>H1:H6 H15:H1048576</xm:sqref>
        </x14:dataValidation>
        <x14:dataValidation type="list" allowBlank="1" showInputMessage="1" showErrorMessage="1">
          <x14:formula1>
            <xm:f>Appoggio!$R$54:$R$68</xm:f>
          </x14:formula1>
          <xm:sqref>J1:J4 J6 J15:J1048576</xm:sqref>
        </x14:dataValidation>
        <x14:dataValidation type="list" allowBlank="1" showInputMessage="1" showErrorMessage="1">
          <x14:formula1>
            <xm:f>Appoggio!$J$3:$J$8</xm:f>
          </x14:formula1>
          <xm:sqref>T1:T4 T6 O15:T1048576</xm:sqref>
        </x14:dataValidation>
        <x14:dataValidation type="list" allowBlank="1" showInputMessage="1" showErrorMessage="1">
          <x14:formula1>
            <xm:f>Appoggio!$K$3:$K$8</xm:f>
          </x14:formula1>
          <xm:sqref>V15:V1048576</xm:sqref>
        </x14:dataValidation>
        <x14:dataValidation type="list" allowBlank="1" showInputMessage="1" showErrorMessage="1">
          <x14:formula1>
            <xm:f>Appoggio!$M$3:$M$7</xm:f>
          </x14:formula1>
          <xm:sqref>Y15:AD1048576</xm:sqref>
        </x14:dataValidation>
        <x14:dataValidation type="list" allowBlank="1" showInputMessage="1" showErrorMessage="1">
          <x14:formula1>
            <xm:f>Appoggio!$E$26</xm:f>
          </x14:formula1>
          <xm:sqref>G7:G14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2:L41"/>
  <sheetViews>
    <sheetView showGridLines="0" zoomScale="70" zoomScaleNormal="70" workbookViewId="0">
      <selection activeCell="A16" sqref="A16:V16"/>
    </sheetView>
  </sheetViews>
  <sheetFormatPr defaultColWidth="8.85546875" defaultRowHeight="14.25"/>
  <cols>
    <col min="1" max="2" width="3.5703125" style="34" customWidth="1"/>
    <col min="3" max="5" width="30.140625" style="34" customWidth="1"/>
    <col min="6" max="6" width="20.85546875" style="34" customWidth="1"/>
    <col min="7" max="7" width="20.5703125" style="34" customWidth="1"/>
    <col min="8" max="8" width="16.5703125" style="34" customWidth="1"/>
    <col min="9" max="9" width="20.42578125" style="34" customWidth="1"/>
    <col min="10" max="10" width="15.140625" style="34" customWidth="1"/>
    <col min="11" max="11" width="14.140625" style="34" customWidth="1"/>
    <col min="12" max="16384" width="8.85546875" style="34"/>
  </cols>
  <sheetData>
    <row r="2" spans="1:12">
      <c r="C2" s="199" t="s">
        <v>58</v>
      </c>
      <c r="D2" s="199"/>
      <c r="E2" s="199"/>
    </row>
    <row r="3" spans="1:12">
      <c r="C3" s="199"/>
      <c r="D3" s="199"/>
      <c r="E3" s="199"/>
    </row>
    <row r="4" spans="1:12" ht="17.45" customHeight="1">
      <c r="C4" s="35"/>
      <c r="D4" s="35"/>
      <c r="E4" s="35"/>
    </row>
    <row r="5" spans="1:12" ht="5.25" customHeight="1">
      <c r="C5" s="36"/>
      <c r="D5" s="37"/>
      <c r="E5" s="36"/>
      <c r="F5" s="38"/>
      <c r="G5" s="38"/>
      <c r="H5" s="38"/>
      <c r="I5" s="38"/>
      <c r="J5" s="38"/>
      <c r="K5" s="38"/>
    </row>
    <row r="6" spans="1:12" ht="55.7" customHeight="1">
      <c r="C6" s="39" t="s">
        <v>10</v>
      </c>
      <c r="D6" s="198" t="s">
        <v>70</v>
      </c>
      <c r="E6" s="198"/>
      <c r="F6" s="198"/>
      <c r="G6" s="198"/>
      <c r="H6" s="198"/>
      <c r="I6" s="198"/>
      <c r="J6" s="198"/>
      <c r="K6" s="198"/>
    </row>
    <row r="7" spans="1:12" ht="5.25" customHeight="1">
      <c r="C7" s="36"/>
      <c r="D7" s="37"/>
      <c r="E7" s="36"/>
      <c r="F7" s="38"/>
      <c r="G7" s="38"/>
      <c r="H7" s="38"/>
      <c r="I7" s="38"/>
      <c r="J7" s="38"/>
      <c r="K7" s="38"/>
    </row>
    <row r="8" spans="1:12" ht="55.7" customHeight="1">
      <c r="C8" s="39" t="s">
        <v>11</v>
      </c>
      <c r="D8" s="198" t="s">
        <v>71</v>
      </c>
      <c r="E8" s="198"/>
      <c r="F8" s="198"/>
      <c r="G8" s="198"/>
      <c r="H8" s="198"/>
      <c r="I8" s="198"/>
      <c r="J8" s="198"/>
      <c r="K8" s="198"/>
    </row>
    <row r="9" spans="1:12" s="41" customFormat="1" ht="5.25" customHeight="1">
      <c r="A9" s="40"/>
      <c r="B9" s="40"/>
      <c r="C9" s="36"/>
      <c r="D9" s="37"/>
      <c r="E9" s="36"/>
      <c r="F9" s="38"/>
      <c r="G9" s="38"/>
      <c r="H9" s="38"/>
      <c r="I9" s="38"/>
      <c r="J9" s="38"/>
      <c r="K9" s="38"/>
      <c r="L9" s="40"/>
    </row>
    <row r="10" spans="1:12" ht="56.1" customHeight="1">
      <c r="C10" s="39" t="s">
        <v>12</v>
      </c>
      <c r="D10" s="198" t="s">
        <v>72</v>
      </c>
      <c r="E10" s="198"/>
      <c r="F10" s="198"/>
      <c r="G10" s="198"/>
      <c r="H10" s="198"/>
      <c r="I10" s="198"/>
      <c r="J10" s="198"/>
      <c r="K10" s="198"/>
    </row>
    <row r="11" spans="1:12" s="41" customFormat="1" ht="5.25" customHeight="1">
      <c r="A11" s="40"/>
      <c r="B11" s="40"/>
      <c r="C11" s="36"/>
      <c r="D11" s="37"/>
      <c r="E11" s="36"/>
      <c r="F11" s="38"/>
      <c r="G11" s="38"/>
      <c r="H11" s="38"/>
      <c r="I11" s="38"/>
      <c r="J11" s="38"/>
      <c r="K11" s="38"/>
      <c r="L11" s="40"/>
    </row>
    <row r="12" spans="1:12" ht="56.1" customHeight="1">
      <c r="C12" s="39" t="s">
        <v>13</v>
      </c>
      <c r="D12" s="198" t="s">
        <v>73</v>
      </c>
      <c r="E12" s="198"/>
      <c r="F12" s="198"/>
      <c r="G12" s="198"/>
      <c r="H12" s="198"/>
      <c r="I12" s="198"/>
      <c r="J12" s="198"/>
      <c r="K12" s="198"/>
    </row>
    <row r="13" spans="1:12" s="41" customFormat="1" ht="5.25" customHeight="1">
      <c r="A13" s="40"/>
      <c r="B13" s="40"/>
      <c r="C13" s="36"/>
      <c r="D13" s="37"/>
      <c r="E13" s="36"/>
      <c r="F13" s="38"/>
      <c r="G13" s="38"/>
      <c r="H13" s="38"/>
      <c r="I13" s="38"/>
      <c r="J13" s="38"/>
      <c r="K13" s="38"/>
      <c r="L13" s="40"/>
    </row>
    <row r="14" spans="1:12" s="41" customFormat="1" ht="55.7" customHeight="1">
      <c r="A14" s="40"/>
      <c r="B14" s="40"/>
      <c r="C14" s="39" t="s">
        <v>14</v>
      </c>
      <c r="D14" s="198" t="s">
        <v>74</v>
      </c>
      <c r="E14" s="198"/>
      <c r="F14" s="198"/>
      <c r="G14" s="198"/>
      <c r="H14" s="198"/>
      <c r="I14" s="198"/>
      <c r="J14" s="198"/>
      <c r="K14" s="198"/>
      <c r="L14" s="40"/>
    </row>
    <row r="15" spans="1:12" s="41" customFormat="1" ht="5.25" customHeight="1">
      <c r="A15" s="40"/>
      <c r="B15" s="40"/>
      <c r="C15" s="36"/>
      <c r="D15" s="37"/>
      <c r="E15" s="36"/>
      <c r="F15" s="38"/>
      <c r="G15" s="38"/>
      <c r="H15" s="38"/>
      <c r="I15" s="38"/>
      <c r="J15" s="38"/>
      <c r="K15" s="38"/>
      <c r="L15" s="40"/>
    </row>
    <row r="16" spans="1:12" ht="56.1" customHeight="1">
      <c r="C16" s="39" t="s">
        <v>75</v>
      </c>
      <c r="D16" s="198" t="s">
        <v>76</v>
      </c>
      <c r="E16" s="198"/>
      <c r="F16" s="198"/>
      <c r="G16" s="198"/>
      <c r="H16" s="198"/>
      <c r="I16" s="198"/>
      <c r="J16" s="198"/>
      <c r="K16" s="198"/>
    </row>
    <row r="17" spans="1:12" s="41" customFormat="1" ht="5.0999999999999996" customHeight="1">
      <c r="A17" s="40"/>
      <c r="B17" s="40"/>
      <c r="C17" s="36"/>
      <c r="D17" s="37"/>
      <c r="E17" s="36"/>
      <c r="F17" s="38"/>
      <c r="G17" s="38"/>
      <c r="H17" s="38"/>
      <c r="I17" s="38"/>
      <c r="J17" s="38"/>
      <c r="K17" s="38"/>
      <c r="L17" s="40"/>
    </row>
    <row r="18" spans="1:12" ht="56.1" customHeight="1">
      <c r="C18" s="39" t="s">
        <v>77</v>
      </c>
      <c r="D18" s="198" t="s">
        <v>78</v>
      </c>
      <c r="E18" s="198"/>
      <c r="F18" s="198"/>
      <c r="G18" s="198"/>
      <c r="H18" s="198"/>
      <c r="I18" s="198"/>
      <c r="J18" s="198"/>
      <c r="K18" s="198"/>
    </row>
    <row r="19" spans="1:12" s="41" customFormat="1" ht="5.25" customHeight="1">
      <c r="A19" s="40"/>
      <c r="B19" s="40"/>
      <c r="C19" s="36"/>
      <c r="D19" s="37"/>
      <c r="E19" s="36"/>
      <c r="F19" s="38"/>
      <c r="G19" s="38"/>
      <c r="H19" s="38"/>
      <c r="I19" s="38"/>
      <c r="J19" s="38"/>
      <c r="K19" s="38"/>
      <c r="L19" s="40"/>
    </row>
    <row r="20" spans="1:12" ht="56.1" customHeight="1">
      <c r="C20" s="39" t="s">
        <v>77</v>
      </c>
      <c r="D20" s="198" t="s">
        <v>79</v>
      </c>
      <c r="E20" s="198"/>
      <c r="F20" s="198"/>
      <c r="G20" s="198"/>
      <c r="H20" s="198"/>
      <c r="I20" s="198"/>
      <c r="J20" s="198"/>
      <c r="K20" s="198"/>
    </row>
    <row r="21" spans="1:12" s="41" customFormat="1" ht="5.25" customHeight="1">
      <c r="A21" s="40"/>
      <c r="B21" s="40"/>
      <c r="C21" s="36"/>
      <c r="D21" s="37"/>
      <c r="E21" s="36"/>
      <c r="F21" s="38"/>
      <c r="G21" s="38"/>
      <c r="H21" s="38"/>
      <c r="I21" s="38"/>
      <c r="J21" s="38"/>
      <c r="K21" s="38"/>
      <c r="L21" s="40"/>
    </row>
    <row r="22" spans="1:12" ht="56.1" customHeight="1">
      <c r="C22" s="39" t="s">
        <v>18</v>
      </c>
      <c r="D22" s="198" t="s">
        <v>80</v>
      </c>
      <c r="E22" s="198"/>
      <c r="F22" s="198"/>
      <c r="G22" s="198"/>
      <c r="H22" s="198"/>
      <c r="I22" s="198"/>
      <c r="J22" s="198"/>
      <c r="K22" s="198"/>
    </row>
    <row r="23" spans="1:12" s="41" customFormat="1" ht="5.25" customHeight="1">
      <c r="A23" s="40"/>
      <c r="B23" s="40"/>
      <c r="C23" s="36"/>
      <c r="D23" s="37"/>
      <c r="E23" s="36"/>
      <c r="F23" s="38"/>
      <c r="G23" s="38"/>
      <c r="H23" s="38"/>
      <c r="I23" s="38"/>
      <c r="J23" s="38"/>
      <c r="K23" s="38"/>
      <c r="L23" s="40"/>
    </row>
    <row r="24" spans="1:12" ht="56.1" customHeight="1">
      <c r="C24" s="39" t="s">
        <v>19</v>
      </c>
      <c r="D24" s="198" t="s">
        <v>81</v>
      </c>
      <c r="E24" s="198"/>
      <c r="F24" s="198"/>
      <c r="G24" s="198"/>
      <c r="H24" s="198"/>
      <c r="I24" s="198"/>
      <c r="J24" s="198"/>
      <c r="K24" s="198"/>
    </row>
    <row r="25" spans="1:12" s="41" customFormat="1" ht="5.25" customHeight="1">
      <c r="A25" s="40"/>
      <c r="B25" s="40"/>
      <c r="C25" s="36"/>
      <c r="D25" s="37"/>
      <c r="E25" s="36"/>
      <c r="F25" s="38"/>
      <c r="G25" s="38"/>
      <c r="H25" s="38"/>
      <c r="I25" s="38"/>
      <c r="J25" s="38"/>
      <c r="K25" s="38"/>
      <c r="L25" s="40"/>
    </row>
    <row r="26" spans="1:12" ht="56.1" customHeight="1">
      <c r="C26" s="39" t="s">
        <v>20</v>
      </c>
      <c r="D26" s="198" t="s">
        <v>82</v>
      </c>
      <c r="E26" s="198"/>
      <c r="F26" s="198"/>
      <c r="G26" s="198"/>
      <c r="H26" s="198"/>
      <c r="I26" s="198"/>
      <c r="J26" s="198"/>
      <c r="K26" s="198"/>
    </row>
    <row r="27" spans="1:12" s="41" customFormat="1" ht="5.25" customHeight="1">
      <c r="A27" s="40"/>
      <c r="B27" s="40"/>
      <c r="C27" s="36"/>
      <c r="D27" s="37"/>
      <c r="E27" s="36"/>
      <c r="F27" s="38"/>
      <c r="G27" s="38"/>
      <c r="H27" s="38"/>
      <c r="I27" s="38"/>
      <c r="J27" s="38"/>
      <c r="K27" s="38"/>
      <c r="L27" s="40"/>
    </row>
    <row r="28" spans="1:12" ht="56.1" customHeight="1">
      <c r="C28" s="39" t="s">
        <v>83</v>
      </c>
      <c r="D28" s="198" t="s">
        <v>84</v>
      </c>
      <c r="E28" s="198"/>
      <c r="F28" s="198"/>
      <c r="G28" s="198"/>
      <c r="H28" s="198"/>
      <c r="I28" s="198"/>
      <c r="J28" s="198"/>
      <c r="K28" s="198"/>
    </row>
    <row r="29" spans="1:12" s="41" customFormat="1" ht="5.25" customHeight="1">
      <c r="A29" s="40"/>
      <c r="B29" s="40"/>
      <c r="C29" s="36"/>
      <c r="D29" s="42"/>
      <c r="E29" s="43"/>
      <c r="F29" s="44"/>
      <c r="G29" s="44"/>
      <c r="H29" s="44"/>
      <c r="I29" s="44"/>
      <c r="J29" s="44"/>
      <c r="K29" s="44"/>
      <c r="L29" s="40"/>
    </row>
    <row r="30" spans="1:12" ht="56.1" customHeight="1">
      <c r="C30" s="39" t="s">
        <v>85</v>
      </c>
      <c r="D30" s="198" t="s">
        <v>86</v>
      </c>
      <c r="E30" s="198"/>
      <c r="F30" s="198"/>
      <c r="G30" s="198"/>
      <c r="H30" s="198"/>
      <c r="I30" s="198"/>
      <c r="J30" s="198"/>
      <c r="K30" s="198"/>
    </row>
    <row r="31" spans="1:12" s="41" customFormat="1" ht="5.25" customHeight="1">
      <c r="A31" s="40"/>
      <c r="B31" s="40"/>
      <c r="C31" s="36"/>
      <c r="D31" s="42"/>
      <c r="E31" s="43"/>
      <c r="F31" s="44"/>
      <c r="G31" s="44"/>
      <c r="H31" s="44"/>
      <c r="I31" s="44"/>
      <c r="J31" s="44"/>
      <c r="K31" s="44"/>
      <c r="L31" s="40"/>
    </row>
    <row r="32" spans="1:12" ht="56.1" customHeight="1">
      <c r="C32" s="39" t="s">
        <v>87</v>
      </c>
      <c r="D32" s="198" t="s">
        <v>88</v>
      </c>
      <c r="E32" s="198"/>
      <c r="F32" s="198"/>
      <c r="G32" s="198"/>
      <c r="H32" s="198"/>
      <c r="I32" s="198"/>
      <c r="J32" s="198"/>
      <c r="K32" s="198"/>
    </row>
    <row r="33" spans="1:12" s="41" customFormat="1" ht="5.25" customHeight="1">
      <c r="A33" s="40"/>
      <c r="B33" s="40"/>
      <c r="C33" s="36"/>
      <c r="D33" s="42"/>
      <c r="E33" s="43"/>
      <c r="F33" s="44"/>
      <c r="G33" s="44"/>
      <c r="H33" s="44"/>
      <c r="I33" s="44"/>
      <c r="J33" s="44"/>
      <c r="K33" s="44"/>
      <c r="L33" s="40"/>
    </row>
    <row r="34" spans="1:12" ht="56.1" customHeight="1">
      <c r="C34" s="39" t="s">
        <v>89</v>
      </c>
      <c r="D34" s="198" t="s">
        <v>90</v>
      </c>
      <c r="E34" s="198"/>
      <c r="F34" s="198"/>
      <c r="G34" s="198"/>
      <c r="H34" s="198"/>
      <c r="I34" s="198"/>
      <c r="J34" s="198"/>
      <c r="K34" s="198"/>
    </row>
    <row r="35" spans="1:12" s="41" customFormat="1" ht="5.25" customHeight="1">
      <c r="A35" s="40"/>
      <c r="B35" s="40"/>
      <c r="C35" s="36"/>
      <c r="D35" s="42"/>
      <c r="E35" s="43"/>
      <c r="F35" s="44"/>
      <c r="G35" s="44"/>
      <c r="H35" s="44"/>
      <c r="I35" s="44"/>
      <c r="J35" s="44"/>
      <c r="K35" s="44"/>
      <c r="L35" s="40"/>
    </row>
    <row r="36" spans="1:12" ht="56.1" customHeight="1">
      <c r="C36" s="39" t="s">
        <v>91</v>
      </c>
      <c r="D36" s="198" t="s">
        <v>92</v>
      </c>
      <c r="E36" s="198"/>
      <c r="F36" s="198"/>
      <c r="G36" s="198"/>
      <c r="H36" s="198"/>
      <c r="I36" s="198"/>
      <c r="J36" s="198"/>
      <c r="K36" s="198"/>
    </row>
    <row r="37" spans="1:12" s="41" customFormat="1" ht="5.25" customHeight="1">
      <c r="A37" s="40"/>
      <c r="B37" s="40"/>
      <c r="C37" s="36"/>
      <c r="D37" s="42"/>
      <c r="E37" s="43"/>
      <c r="F37" s="44"/>
      <c r="G37" s="44"/>
      <c r="H37" s="44"/>
      <c r="I37" s="44"/>
      <c r="J37" s="44"/>
      <c r="K37" s="44"/>
      <c r="L37" s="40"/>
    </row>
    <row r="38" spans="1:12" ht="56.1" customHeight="1">
      <c r="C38" s="39" t="s">
        <v>93</v>
      </c>
      <c r="D38" s="198" t="s">
        <v>94</v>
      </c>
      <c r="E38" s="198"/>
      <c r="F38" s="198"/>
      <c r="G38" s="198"/>
      <c r="H38" s="198"/>
      <c r="I38" s="198"/>
      <c r="J38" s="198"/>
      <c r="K38" s="198"/>
    </row>
    <row r="39" spans="1:12" s="41" customFormat="1" ht="5.25" customHeight="1">
      <c r="A39" s="40"/>
      <c r="B39" s="40"/>
      <c r="C39" s="36"/>
      <c r="D39" s="42"/>
      <c r="E39" s="43"/>
      <c r="F39" s="44"/>
      <c r="G39" s="44"/>
      <c r="H39" s="44"/>
      <c r="I39" s="44"/>
      <c r="J39" s="44"/>
      <c r="K39" s="44"/>
      <c r="L39" s="40"/>
    </row>
    <row r="40" spans="1:12" ht="56.1" customHeight="1">
      <c r="C40" s="39" t="s">
        <v>95</v>
      </c>
      <c r="D40" s="198" t="s">
        <v>96</v>
      </c>
      <c r="E40" s="198"/>
      <c r="F40" s="198"/>
      <c r="G40" s="198"/>
      <c r="H40" s="198"/>
      <c r="I40" s="198"/>
      <c r="J40" s="198"/>
      <c r="K40" s="198"/>
    </row>
    <row r="41" spans="1:12" s="41" customFormat="1" ht="5.25" customHeight="1">
      <c r="A41" s="40"/>
      <c r="B41" s="40"/>
      <c r="C41" s="36"/>
      <c r="D41" s="42"/>
      <c r="E41" s="43"/>
      <c r="F41" s="44"/>
      <c r="G41" s="44"/>
      <c r="H41" s="44"/>
      <c r="I41" s="44"/>
      <c r="J41" s="44"/>
      <c r="K41" s="44"/>
      <c r="L41" s="40"/>
    </row>
  </sheetData>
  <mergeCells count="19">
    <mergeCell ref="D26:K26"/>
    <mergeCell ref="C2:E3"/>
    <mergeCell ref="D6:K6"/>
    <mergeCell ref="D8:K8"/>
    <mergeCell ref="D10:K10"/>
    <mergeCell ref="D12:K12"/>
    <mergeCell ref="D14:K14"/>
    <mergeCell ref="D16:K16"/>
    <mergeCell ref="D18:K18"/>
    <mergeCell ref="D20:K20"/>
    <mergeCell ref="D22:K22"/>
    <mergeCell ref="D24:K24"/>
    <mergeCell ref="D40:K40"/>
    <mergeCell ref="D28:K28"/>
    <mergeCell ref="D30:K30"/>
    <mergeCell ref="D32:K32"/>
    <mergeCell ref="D34:K34"/>
    <mergeCell ref="D36:K36"/>
    <mergeCell ref="D38:K38"/>
  </mergeCells>
  <hyperlinks>
    <hyperlink ref="C2:E3" location="Copertina!A1" display="Risk Guide"/>
  </hyperlinks>
  <pageMargins left="0.7" right="0.7" top="0.75" bottom="0.75" header="0.3" footer="0.3"/>
  <pageSetup paperSize="9" orientation="portrait" verticalDpi="20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C1:G67"/>
  <sheetViews>
    <sheetView showGridLines="0" zoomScale="111" zoomScaleNormal="85" workbookViewId="0">
      <pane xSplit="3" ySplit="5" topLeftCell="D46" activePane="bottomRight" state="frozen"/>
      <selection activeCell="A16" sqref="A16:V16"/>
      <selection pane="topRight" activeCell="A16" sqref="A16:V16"/>
      <selection pane="bottomLeft" activeCell="A16" sqref="A16:V16"/>
      <selection pane="bottomRight" activeCell="A16" sqref="A6:V19"/>
    </sheetView>
  </sheetViews>
  <sheetFormatPr defaultRowHeight="15"/>
  <cols>
    <col min="1" max="2" width="3.5703125" customWidth="1"/>
    <col min="3" max="3" width="33" customWidth="1"/>
    <col min="4" max="4" width="33.5703125" customWidth="1"/>
    <col min="5" max="5" width="89.85546875" customWidth="1"/>
    <col min="6" max="6" width="30.140625" customWidth="1"/>
    <col min="7" max="7" width="71.85546875" customWidth="1"/>
  </cols>
  <sheetData>
    <row r="1" spans="3:7" ht="17.45" customHeight="1"/>
    <row r="2" spans="3:7" ht="17.45" customHeight="1">
      <c r="C2" s="202" t="s">
        <v>59</v>
      </c>
      <c r="D2" s="202"/>
      <c r="E2" s="202"/>
    </row>
    <row r="3" spans="3:7" ht="17.45" customHeight="1">
      <c r="C3" s="202"/>
      <c r="D3" s="202"/>
      <c r="E3" s="202"/>
    </row>
    <row r="4" spans="3:7" ht="17.45" customHeight="1">
      <c r="E4" s="45"/>
    </row>
    <row r="5" spans="3:7">
      <c r="C5" s="46" t="s">
        <v>97</v>
      </c>
      <c r="D5" s="47" t="s">
        <v>98</v>
      </c>
      <c r="E5" s="48" t="s">
        <v>99</v>
      </c>
      <c r="F5" s="49" t="s">
        <v>100</v>
      </c>
      <c r="G5" s="48" t="s">
        <v>99</v>
      </c>
    </row>
    <row r="6" spans="3:7" ht="22.5">
      <c r="C6" s="203" t="s">
        <v>101</v>
      </c>
      <c r="D6" s="50" t="s">
        <v>102</v>
      </c>
      <c r="E6" s="51" t="s">
        <v>103</v>
      </c>
      <c r="F6" s="206"/>
      <c r="G6" s="52"/>
    </row>
    <row r="7" spans="3:7" ht="33.75">
      <c r="C7" s="204"/>
      <c r="D7" s="50" t="s">
        <v>104</v>
      </c>
      <c r="E7" s="51" t="s">
        <v>105</v>
      </c>
      <c r="F7" s="204"/>
      <c r="G7" s="52"/>
    </row>
    <row r="8" spans="3:7" ht="22.5">
      <c r="C8" s="204"/>
      <c r="D8" s="50" t="s">
        <v>106</v>
      </c>
      <c r="E8" s="51" t="s">
        <v>107</v>
      </c>
      <c r="F8" s="204"/>
      <c r="G8" s="52"/>
    </row>
    <row r="9" spans="3:7" ht="45">
      <c r="C9" s="204"/>
      <c r="D9" s="50" t="s">
        <v>108</v>
      </c>
      <c r="E9" s="51" t="s">
        <v>109</v>
      </c>
      <c r="F9" s="204"/>
      <c r="G9" s="52"/>
    </row>
    <row r="10" spans="3:7" ht="22.5">
      <c r="C10" s="204"/>
      <c r="D10" s="50" t="s">
        <v>110</v>
      </c>
      <c r="E10" s="51" t="s">
        <v>111</v>
      </c>
      <c r="F10" s="204"/>
      <c r="G10" s="52"/>
    </row>
    <row r="11" spans="3:7" ht="33.75">
      <c r="C11" s="204"/>
      <c r="D11" s="50" t="s">
        <v>112</v>
      </c>
      <c r="E11" s="51" t="s">
        <v>113</v>
      </c>
      <c r="F11" s="204"/>
      <c r="G11" s="52"/>
    </row>
    <row r="12" spans="3:7" ht="45">
      <c r="C12" s="204"/>
      <c r="D12" s="50" t="s">
        <v>114</v>
      </c>
      <c r="E12" s="51" t="s">
        <v>115</v>
      </c>
      <c r="F12" s="204"/>
      <c r="G12" s="52"/>
    </row>
    <row r="13" spans="3:7" ht="22.5">
      <c r="C13" s="204"/>
      <c r="D13" s="50" t="s">
        <v>116</v>
      </c>
      <c r="E13" s="51" t="s">
        <v>117</v>
      </c>
      <c r="F13" s="204"/>
      <c r="G13" s="52"/>
    </row>
    <row r="14" spans="3:7" ht="22.5">
      <c r="C14" s="204"/>
      <c r="D14" s="50" t="s">
        <v>118</v>
      </c>
      <c r="E14" s="51" t="s">
        <v>119</v>
      </c>
      <c r="F14" s="204"/>
      <c r="G14" s="52"/>
    </row>
    <row r="15" spans="3:7" ht="22.5">
      <c r="C15" s="204"/>
      <c r="D15" s="50" t="s">
        <v>120</v>
      </c>
      <c r="E15" s="51" t="s">
        <v>121</v>
      </c>
      <c r="F15" s="204"/>
      <c r="G15" s="52"/>
    </row>
    <row r="16" spans="3:7" ht="33.75">
      <c r="C16" s="204"/>
      <c r="D16" s="50" t="s">
        <v>122</v>
      </c>
      <c r="E16" s="51" t="s">
        <v>123</v>
      </c>
      <c r="F16" s="204"/>
      <c r="G16" s="52"/>
    </row>
    <row r="17" spans="3:7" ht="22.5">
      <c r="C17" s="204"/>
      <c r="D17" s="50" t="s">
        <v>124</v>
      </c>
      <c r="E17" s="51" t="s">
        <v>125</v>
      </c>
      <c r="F17" s="204"/>
      <c r="G17" s="52"/>
    </row>
    <row r="18" spans="3:7" ht="45">
      <c r="C18" s="204"/>
      <c r="D18" s="50" t="s">
        <v>126</v>
      </c>
      <c r="E18" s="51" t="s">
        <v>127</v>
      </c>
      <c r="F18" s="204"/>
      <c r="G18" s="52"/>
    </row>
    <row r="19" spans="3:7" ht="33.75">
      <c r="C19" s="205"/>
      <c r="D19" s="50" t="s">
        <v>128</v>
      </c>
      <c r="E19" s="51" t="s">
        <v>129</v>
      </c>
      <c r="F19" s="205"/>
      <c r="G19" s="52"/>
    </row>
    <row r="20" spans="3:7" ht="24">
      <c r="C20" s="207" t="s">
        <v>130</v>
      </c>
      <c r="D20" s="53" t="s">
        <v>131</v>
      </c>
      <c r="E20" s="54" t="s">
        <v>132</v>
      </c>
      <c r="F20" s="55"/>
      <c r="G20" s="56"/>
    </row>
    <row r="21" spans="3:7" ht="22.5">
      <c r="C21" s="207"/>
      <c r="D21" s="57" t="s">
        <v>133</v>
      </c>
      <c r="E21" s="51" t="s">
        <v>134</v>
      </c>
      <c r="F21" s="55"/>
      <c r="G21" s="56"/>
    </row>
    <row r="22" spans="3:7" ht="22.5">
      <c r="C22" s="207"/>
      <c r="D22" s="57" t="s">
        <v>135</v>
      </c>
      <c r="E22" s="51" t="s">
        <v>136</v>
      </c>
      <c r="F22" s="55"/>
      <c r="G22" s="56"/>
    </row>
    <row r="23" spans="3:7" ht="22.5">
      <c r="C23" s="207"/>
      <c r="D23" s="57" t="s">
        <v>137</v>
      </c>
      <c r="E23" s="51" t="s">
        <v>138</v>
      </c>
      <c r="F23" s="55"/>
      <c r="G23" s="56"/>
    </row>
    <row r="24" spans="3:7" ht="22.5">
      <c r="C24" s="207"/>
      <c r="D24" s="57" t="s">
        <v>139</v>
      </c>
      <c r="E24" s="51" t="s">
        <v>140</v>
      </c>
      <c r="F24" s="55"/>
      <c r="G24" s="56"/>
    </row>
    <row r="25" spans="3:7" ht="22.5">
      <c r="C25" s="201"/>
      <c r="D25" s="57" t="s">
        <v>141</v>
      </c>
      <c r="E25" s="51" t="s">
        <v>142</v>
      </c>
      <c r="F25" s="53"/>
      <c r="G25" s="58"/>
    </row>
    <row r="26" spans="3:7" ht="22.5">
      <c r="C26" s="208" t="s">
        <v>143</v>
      </c>
      <c r="D26" s="50" t="s">
        <v>144</v>
      </c>
      <c r="E26" s="51" t="s">
        <v>145</v>
      </c>
      <c r="F26" s="59"/>
      <c r="G26" s="56"/>
    </row>
    <row r="27" spans="3:7" ht="22.5">
      <c r="C27" s="207"/>
      <c r="D27" s="50" t="s">
        <v>146</v>
      </c>
      <c r="E27" s="51" t="s">
        <v>147</v>
      </c>
      <c r="F27" s="59"/>
      <c r="G27" s="56"/>
    </row>
    <row r="28" spans="3:7">
      <c r="C28" s="207"/>
      <c r="D28" s="50" t="s">
        <v>148</v>
      </c>
      <c r="E28" s="51" t="s">
        <v>149</v>
      </c>
      <c r="F28" s="59"/>
      <c r="G28" s="56"/>
    </row>
    <row r="29" spans="3:7" ht="22.5">
      <c r="C29" s="207"/>
      <c r="D29" s="50" t="s">
        <v>65</v>
      </c>
      <c r="E29" s="51" t="s">
        <v>150</v>
      </c>
      <c r="F29" s="59"/>
      <c r="G29" s="56"/>
    </row>
    <row r="30" spans="3:7" ht="22.5">
      <c r="C30" s="201"/>
      <c r="D30" s="50" t="s">
        <v>151</v>
      </c>
      <c r="E30" s="51" t="s">
        <v>152</v>
      </c>
      <c r="F30" s="60"/>
      <c r="G30" s="58"/>
    </row>
    <row r="31" spans="3:7" ht="22.5">
      <c r="C31" s="209" t="s">
        <v>153</v>
      </c>
      <c r="D31" s="57" t="s">
        <v>154</v>
      </c>
      <c r="E31" s="51" t="s">
        <v>155</v>
      </c>
      <c r="F31" s="61"/>
      <c r="G31" s="62"/>
    </row>
    <row r="32" spans="3:7" ht="22.5">
      <c r="C32" s="210"/>
      <c r="D32" s="57" t="s">
        <v>156</v>
      </c>
      <c r="E32" s="51" t="s">
        <v>157</v>
      </c>
      <c r="F32" s="55"/>
      <c r="G32" s="56"/>
    </row>
    <row r="33" spans="3:7" ht="33.75">
      <c r="C33" s="210"/>
      <c r="D33" s="57" t="s">
        <v>158</v>
      </c>
      <c r="E33" s="51" t="s">
        <v>159</v>
      </c>
      <c r="F33" s="55"/>
      <c r="G33" s="56"/>
    </row>
    <row r="34" spans="3:7" ht="22.5">
      <c r="C34" s="210"/>
      <c r="D34" s="57" t="s">
        <v>160</v>
      </c>
      <c r="E34" s="51" t="s">
        <v>161</v>
      </c>
      <c r="F34" s="55"/>
      <c r="G34" s="56"/>
    </row>
    <row r="35" spans="3:7" ht="22.5">
      <c r="C35" s="210"/>
      <c r="D35" s="57" t="s">
        <v>162</v>
      </c>
      <c r="E35" s="51" t="s">
        <v>163</v>
      </c>
      <c r="F35" s="55"/>
      <c r="G35" s="56"/>
    </row>
    <row r="36" spans="3:7" ht="22.5">
      <c r="C36" s="210"/>
      <c r="D36" s="57" t="s">
        <v>164</v>
      </c>
      <c r="E36" s="51" t="s">
        <v>165</v>
      </c>
      <c r="F36" s="53"/>
      <c r="G36" s="58"/>
    </row>
    <row r="37" spans="3:7" ht="22.5">
      <c r="C37" s="208" t="s">
        <v>166</v>
      </c>
      <c r="D37" s="50" t="s">
        <v>68</v>
      </c>
      <c r="E37" s="51" t="s">
        <v>167</v>
      </c>
      <c r="F37" s="63"/>
      <c r="G37" s="64"/>
    </row>
    <row r="38" spans="3:7" ht="33.75">
      <c r="C38" s="207"/>
      <c r="D38" s="50" t="s">
        <v>168</v>
      </c>
      <c r="E38" s="51" t="s">
        <v>169</v>
      </c>
      <c r="F38" s="65"/>
      <c r="G38" s="64"/>
    </row>
    <row r="39" spans="3:7" ht="22.5">
      <c r="C39" s="207"/>
      <c r="D39" s="50" t="s">
        <v>170</v>
      </c>
      <c r="E39" s="51" t="s">
        <v>171</v>
      </c>
      <c r="F39" s="65"/>
      <c r="G39" s="64"/>
    </row>
    <row r="40" spans="3:7" ht="33.75">
      <c r="C40" s="207"/>
      <c r="D40" s="50" t="s">
        <v>172</v>
      </c>
      <c r="E40" s="51" t="s">
        <v>173</v>
      </c>
      <c r="F40" s="65"/>
      <c r="G40" s="64"/>
    </row>
    <row r="41" spans="3:7" ht="33.75">
      <c r="C41" s="207"/>
      <c r="D41" s="50" t="s">
        <v>174</v>
      </c>
      <c r="E41" s="51" t="s">
        <v>175</v>
      </c>
      <c r="F41" s="65"/>
      <c r="G41" s="64"/>
    </row>
    <row r="42" spans="3:7" ht="22.5">
      <c r="C42" s="207"/>
      <c r="D42" s="50" t="s">
        <v>176</v>
      </c>
      <c r="E42" s="51" t="s">
        <v>177</v>
      </c>
      <c r="F42" s="65"/>
      <c r="G42" s="64"/>
    </row>
    <row r="43" spans="3:7" ht="33.75">
      <c r="C43" s="207"/>
      <c r="D43" s="50" t="s">
        <v>178</v>
      </c>
      <c r="E43" s="51" t="s">
        <v>179</v>
      </c>
      <c r="F43" s="65"/>
      <c r="G43" s="64"/>
    </row>
    <row r="44" spans="3:7" ht="22.5">
      <c r="C44" s="207"/>
      <c r="D44" s="50" t="s">
        <v>180</v>
      </c>
      <c r="E44" s="51" t="s">
        <v>181</v>
      </c>
      <c r="F44" s="65"/>
      <c r="G44" s="64"/>
    </row>
    <row r="45" spans="3:7" ht="22.5">
      <c r="C45" s="207"/>
      <c r="D45" s="50" t="s">
        <v>182</v>
      </c>
      <c r="E45" s="51" t="s">
        <v>183</v>
      </c>
      <c r="F45" s="65"/>
      <c r="G45" s="64"/>
    </row>
    <row r="46" spans="3:7" ht="22.5">
      <c r="C46" s="207"/>
      <c r="D46" s="50" t="s">
        <v>184</v>
      </c>
      <c r="E46" s="51" t="s">
        <v>185</v>
      </c>
      <c r="F46" s="65"/>
      <c r="G46" s="64"/>
    </row>
    <row r="47" spans="3:7" ht="24">
      <c r="C47" s="207"/>
      <c r="D47" s="211" t="s">
        <v>69</v>
      </c>
      <c r="E47" s="214" t="s">
        <v>186</v>
      </c>
      <c r="F47" s="50" t="s">
        <v>187</v>
      </c>
      <c r="G47" s="51" t="s">
        <v>188</v>
      </c>
    </row>
    <row r="48" spans="3:7" ht="22.5">
      <c r="C48" s="207"/>
      <c r="D48" s="212"/>
      <c r="E48" s="215"/>
      <c r="F48" s="50" t="s">
        <v>189</v>
      </c>
      <c r="G48" s="51" t="s">
        <v>190</v>
      </c>
    </row>
    <row r="49" spans="3:7">
      <c r="C49" s="207"/>
      <c r="D49" s="213"/>
      <c r="E49" s="216"/>
      <c r="F49" s="50" t="s">
        <v>191</v>
      </c>
      <c r="G49" s="51" t="s">
        <v>192</v>
      </c>
    </row>
    <row r="50" spans="3:7">
      <c r="C50" s="207"/>
      <c r="D50" s="211" t="s">
        <v>193</v>
      </c>
      <c r="E50" s="214" t="s">
        <v>194</v>
      </c>
      <c r="F50" s="50" t="s">
        <v>195</v>
      </c>
      <c r="G50" s="51" t="s">
        <v>196</v>
      </c>
    </row>
    <row r="51" spans="3:7" ht="22.5">
      <c r="C51" s="207"/>
      <c r="D51" s="212"/>
      <c r="E51" s="215"/>
      <c r="F51" s="50" t="s">
        <v>197</v>
      </c>
      <c r="G51" s="51" t="s">
        <v>198</v>
      </c>
    </row>
    <row r="52" spans="3:7" ht="33.75">
      <c r="C52" s="207"/>
      <c r="D52" s="212"/>
      <c r="E52" s="215"/>
      <c r="F52" s="50" t="s">
        <v>199</v>
      </c>
      <c r="G52" s="51" t="s">
        <v>200</v>
      </c>
    </row>
    <row r="53" spans="3:7" ht="33.75">
      <c r="C53" s="207"/>
      <c r="D53" s="212"/>
      <c r="E53" s="215"/>
      <c r="F53" s="50" t="s">
        <v>201</v>
      </c>
      <c r="G53" s="51" t="s">
        <v>202</v>
      </c>
    </row>
    <row r="54" spans="3:7">
      <c r="C54" s="207"/>
      <c r="D54" s="212"/>
      <c r="E54" s="215"/>
      <c r="F54" s="50" t="s">
        <v>203</v>
      </c>
      <c r="G54" s="51" t="s">
        <v>204</v>
      </c>
    </row>
    <row r="55" spans="3:7" ht="22.5">
      <c r="C55" s="207"/>
      <c r="D55" s="212"/>
      <c r="E55" s="215"/>
      <c r="F55" s="50" t="s">
        <v>205</v>
      </c>
      <c r="G55" s="51" t="s">
        <v>206</v>
      </c>
    </row>
    <row r="56" spans="3:7" ht="33.75">
      <c r="C56" s="207"/>
      <c r="D56" s="212"/>
      <c r="E56" s="215"/>
      <c r="F56" s="50" t="s">
        <v>207</v>
      </c>
      <c r="G56" s="51" t="s">
        <v>208</v>
      </c>
    </row>
    <row r="57" spans="3:7" ht="24">
      <c r="C57" s="207"/>
      <c r="D57" s="212"/>
      <c r="E57" s="215"/>
      <c r="F57" s="50" t="s">
        <v>209</v>
      </c>
      <c r="G57" s="51" t="s">
        <v>210</v>
      </c>
    </row>
    <row r="58" spans="3:7" ht="22.5">
      <c r="C58" s="207"/>
      <c r="D58" s="212"/>
      <c r="E58" s="215"/>
      <c r="F58" s="50" t="s">
        <v>211</v>
      </c>
      <c r="G58" s="51" t="s">
        <v>212</v>
      </c>
    </row>
    <row r="59" spans="3:7" ht="22.5">
      <c r="C59" s="207"/>
      <c r="D59" s="212"/>
      <c r="E59" s="215"/>
      <c r="F59" s="50" t="s">
        <v>213</v>
      </c>
      <c r="G59" s="51" t="s">
        <v>214</v>
      </c>
    </row>
    <row r="60" spans="3:7" ht="22.5">
      <c r="C60" s="207"/>
      <c r="D60" s="212"/>
      <c r="E60" s="215"/>
      <c r="F60" s="50" t="s">
        <v>215</v>
      </c>
      <c r="G60" s="51" t="s">
        <v>216</v>
      </c>
    </row>
    <row r="61" spans="3:7" ht="22.5">
      <c r="C61" s="201"/>
      <c r="D61" s="213"/>
      <c r="E61" s="216"/>
      <c r="F61" s="50" t="s">
        <v>217</v>
      </c>
      <c r="G61" s="51" t="s">
        <v>218</v>
      </c>
    </row>
    <row r="62" spans="3:7">
      <c r="C62" s="200" t="s">
        <v>219</v>
      </c>
      <c r="D62" s="60" t="s">
        <v>220</v>
      </c>
      <c r="E62" s="54" t="s">
        <v>221</v>
      </c>
      <c r="F62" s="59"/>
      <c r="G62" s="56"/>
    </row>
    <row r="63" spans="3:7">
      <c r="C63" s="200"/>
      <c r="D63" s="50" t="s">
        <v>222</v>
      </c>
      <c r="E63" s="51" t="s">
        <v>223</v>
      </c>
      <c r="F63" s="59"/>
      <c r="G63" s="56"/>
    </row>
    <row r="64" spans="3:7" ht="22.5">
      <c r="C64" s="200"/>
      <c r="D64" s="50" t="s">
        <v>63</v>
      </c>
      <c r="E64" s="51" t="s">
        <v>224</v>
      </c>
      <c r="F64" s="59"/>
      <c r="G64" s="56"/>
    </row>
    <row r="65" spans="3:7" ht="24">
      <c r="C65" s="200"/>
      <c r="D65" s="50" t="s">
        <v>225</v>
      </c>
      <c r="E65" s="51" t="s">
        <v>226</v>
      </c>
      <c r="F65" s="59"/>
      <c r="G65" s="56"/>
    </row>
    <row r="66" spans="3:7">
      <c r="C66" s="200"/>
      <c r="D66" s="50" t="s">
        <v>227</v>
      </c>
      <c r="E66" s="51" t="s">
        <v>228</v>
      </c>
      <c r="F66" s="59"/>
      <c r="G66" s="56"/>
    </row>
    <row r="67" spans="3:7" ht="24">
      <c r="C67" s="201"/>
      <c r="D67" s="50" t="s">
        <v>67</v>
      </c>
      <c r="E67" s="51" t="s">
        <v>229</v>
      </c>
      <c r="F67" s="60"/>
      <c r="G67" s="58"/>
    </row>
  </sheetData>
  <mergeCells count="12">
    <mergeCell ref="C62:C67"/>
    <mergeCell ref="C2:E3"/>
    <mergeCell ref="C6:C19"/>
    <mergeCell ref="F6:F19"/>
    <mergeCell ref="C20:C25"/>
    <mergeCell ref="C26:C30"/>
    <mergeCell ref="C31:C36"/>
    <mergeCell ref="C37:C61"/>
    <mergeCell ref="D47:D49"/>
    <mergeCell ref="E47:E49"/>
    <mergeCell ref="D50:D61"/>
    <mergeCell ref="E50:E61"/>
  </mergeCells>
  <hyperlinks>
    <hyperlink ref="C2:E3" location="Copertina!A1" display="Risk Model"/>
  </hyperlinks>
  <pageMargins left="0.7" right="0.7" top="0.75" bottom="0.75" header="0.3" footer="0.3"/>
  <pageSetup paperSize="9" orientation="portrait" verticalDpi="20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45"/>
  <sheetViews>
    <sheetView showGridLines="0" zoomScale="84" zoomScaleNormal="70" workbookViewId="0">
      <selection activeCell="A16" sqref="A15:V19"/>
    </sheetView>
  </sheetViews>
  <sheetFormatPr defaultColWidth="8.85546875" defaultRowHeight="12.75"/>
  <cols>
    <col min="1" max="2" width="3.5703125" style="66" customWidth="1"/>
    <col min="3" max="3" width="24.5703125" style="66" customWidth="1"/>
    <col min="4" max="4" width="27.42578125" style="66" customWidth="1"/>
    <col min="5" max="10" width="45.5703125" style="66" customWidth="1"/>
    <col min="11" max="16384" width="8.85546875" style="66"/>
  </cols>
  <sheetData>
    <row r="1" spans="2:10" ht="17.45" customHeight="1"/>
    <row r="2" spans="2:10" ht="17.45" customHeight="1">
      <c r="C2" s="202" t="s">
        <v>230</v>
      </c>
      <c r="D2" s="202"/>
      <c r="E2" s="202"/>
    </row>
    <row r="3" spans="2:10" ht="17.45" customHeight="1">
      <c r="C3" s="202"/>
      <c r="D3" s="202"/>
      <c r="E3" s="202"/>
    </row>
    <row r="4" spans="2:10" ht="17.45" customHeight="1"/>
    <row r="5" spans="2:10" ht="35.1" customHeight="1">
      <c r="C5" s="220" t="s">
        <v>231</v>
      </c>
      <c r="D5" s="218"/>
      <c r="E5" s="218"/>
      <c r="F5" s="218"/>
      <c r="G5" s="218"/>
      <c r="H5" s="218"/>
      <c r="I5" s="218"/>
      <c r="J5" s="218"/>
    </row>
    <row r="6" spans="2:10" ht="35.1" customHeight="1">
      <c r="C6" s="67" t="s">
        <v>232</v>
      </c>
      <c r="D6" s="67" t="s">
        <v>233</v>
      </c>
      <c r="E6" s="67" t="s">
        <v>234</v>
      </c>
      <c r="F6" s="68" t="s">
        <v>235</v>
      </c>
      <c r="G6" s="68" t="s">
        <v>236</v>
      </c>
      <c r="H6" s="68" t="s">
        <v>27</v>
      </c>
      <c r="I6" s="68" t="s">
        <v>237</v>
      </c>
      <c r="J6" s="68" t="s">
        <v>26</v>
      </c>
    </row>
    <row r="7" spans="2:10" ht="114.75">
      <c r="C7" s="69">
        <v>10</v>
      </c>
      <c r="D7" s="70" t="s">
        <v>238</v>
      </c>
      <c r="E7" s="71" t="s">
        <v>239</v>
      </c>
      <c r="F7" s="72" t="s">
        <v>240</v>
      </c>
      <c r="G7" s="72" t="s">
        <v>241</v>
      </c>
      <c r="H7" s="72" t="s">
        <v>242</v>
      </c>
      <c r="I7" s="72" t="s">
        <v>243</v>
      </c>
      <c r="J7" s="72" t="s">
        <v>244</v>
      </c>
    </row>
    <row r="8" spans="2:10" ht="130.69999999999999" customHeight="1">
      <c r="C8" s="73">
        <v>7</v>
      </c>
      <c r="D8" s="74" t="s">
        <v>245</v>
      </c>
      <c r="E8" s="75" t="s">
        <v>246</v>
      </c>
      <c r="F8" s="76" t="s">
        <v>247</v>
      </c>
      <c r="G8" s="76" t="s">
        <v>248</v>
      </c>
      <c r="H8" s="76" t="s">
        <v>249</v>
      </c>
      <c r="I8" s="76" t="s">
        <v>250</v>
      </c>
      <c r="J8" s="76" t="s">
        <v>251</v>
      </c>
    </row>
    <row r="9" spans="2:10" ht="76.5">
      <c r="C9" s="73">
        <v>5</v>
      </c>
      <c r="D9" s="74" t="s">
        <v>252</v>
      </c>
      <c r="E9" s="75" t="s">
        <v>253</v>
      </c>
      <c r="F9" s="76" t="s">
        <v>254</v>
      </c>
      <c r="G9" s="76" t="s">
        <v>255</v>
      </c>
      <c r="H9" s="76" t="s">
        <v>256</v>
      </c>
      <c r="I9" s="75" t="s">
        <v>257</v>
      </c>
      <c r="J9" s="76" t="s">
        <v>258</v>
      </c>
    </row>
    <row r="10" spans="2:10" ht="96" customHeight="1">
      <c r="C10" s="73">
        <v>3</v>
      </c>
      <c r="D10" s="74" t="s">
        <v>259</v>
      </c>
      <c r="E10" s="75" t="s">
        <v>260</v>
      </c>
      <c r="F10" s="76" t="s">
        <v>261</v>
      </c>
      <c r="G10" s="76" t="s">
        <v>262</v>
      </c>
      <c r="H10" s="76" t="s">
        <v>263</v>
      </c>
      <c r="I10" s="75" t="s">
        <v>264</v>
      </c>
      <c r="J10" s="76" t="s">
        <v>265</v>
      </c>
    </row>
    <row r="11" spans="2:10" ht="100.7" customHeight="1">
      <c r="C11" s="77">
        <v>2</v>
      </c>
      <c r="D11" s="78" t="s">
        <v>266</v>
      </c>
      <c r="E11" s="79" t="s">
        <v>267</v>
      </c>
      <c r="F11" s="80" t="s">
        <v>268</v>
      </c>
      <c r="G11" s="80" t="s">
        <v>269</v>
      </c>
      <c r="H11" s="80" t="s">
        <v>270</v>
      </c>
      <c r="I11" s="79" t="s">
        <v>271</v>
      </c>
      <c r="J11" s="80" t="s">
        <v>272</v>
      </c>
    </row>
    <row r="12" spans="2:10">
      <c r="C12" s="81"/>
      <c r="D12" s="82"/>
      <c r="E12" s="83"/>
      <c r="F12" s="84"/>
      <c r="G12" s="84"/>
      <c r="H12" s="84"/>
      <c r="I12" s="83"/>
      <c r="J12" s="84"/>
    </row>
    <row r="13" spans="2:10" s="2" customFormat="1" ht="35.450000000000003" customHeight="1">
      <c r="B13" s="85"/>
      <c r="C13" s="221" t="s">
        <v>273</v>
      </c>
      <c r="D13" s="222"/>
      <c r="E13" s="222"/>
      <c r="F13" s="222"/>
      <c r="G13" s="222"/>
    </row>
    <row r="14" spans="2:10" ht="35.450000000000003" customHeight="1">
      <c r="B14" s="86"/>
      <c r="C14" s="87" t="s">
        <v>232</v>
      </c>
      <c r="D14" s="88" t="s">
        <v>233</v>
      </c>
      <c r="E14" s="87" t="s">
        <v>274</v>
      </c>
      <c r="F14" s="89" t="s">
        <v>275</v>
      </c>
      <c r="G14" s="87" t="s">
        <v>276</v>
      </c>
    </row>
    <row r="15" spans="2:10" ht="35.450000000000003" customHeight="1">
      <c r="B15" s="217" t="s">
        <v>277</v>
      </c>
      <c r="C15" s="90">
        <v>2</v>
      </c>
      <c r="D15" s="91" t="s">
        <v>266</v>
      </c>
      <c r="E15" s="92" t="s">
        <v>278</v>
      </c>
      <c r="F15" s="93" t="s">
        <v>279</v>
      </c>
      <c r="G15" s="92" t="s">
        <v>280</v>
      </c>
    </row>
    <row r="16" spans="2:10" ht="35.450000000000003" customHeight="1">
      <c r="B16" s="217"/>
      <c r="C16" s="94">
        <v>3</v>
      </c>
      <c r="D16" s="95" t="s">
        <v>259</v>
      </c>
      <c r="E16" s="96" t="s">
        <v>281</v>
      </c>
      <c r="F16" s="97" t="s">
        <v>282</v>
      </c>
      <c r="G16" s="96" t="s">
        <v>283</v>
      </c>
    </row>
    <row r="17" spans="2:10" ht="35.450000000000003" customHeight="1">
      <c r="B17" s="217"/>
      <c r="C17" s="98">
        <v>5</v>
      </c>
      <c r="D17" s="95" t="s">
        <v>252</v>
      </c>
      <c r="E17" s="96" t="s">
        <v>284</v>
      </c>
      <c r="F17" s="97" t="s">
        <v>285</v>
      </c>
      <c r="G17" s="96" t="s">
        <v>286</v>
      </c>
    </row>
    <row r="18" spans="2:10" ht="35.450000000000003" customHeight="1">
      <c r="B18" s="217"/>
      <c r="C18" s="99">
        <v>7</v>
      </c>
      <c r="D18" s="95" t="s">
        <v>245</v>
      </c>
      <c r="E18" s="96" t="s">
        <v>287</v>
      </c>
      <c r="F18" s="97" t="s">
        <v>288</v>
      </c>
      <c r="G18" s="96" t="s">
        <v>289</v>
      </c>
    </row>
    <row r="19" spans="2:10" ht="35.450000000000003" customHeight="1" thickBot="1">
      <c r="B19" s="217"/>
      <c r="C19" s="100">
        <v>10</v>
      </c>
      <c r="D19" s="101" t="s">
        <v>290</v>
      </c>
      <c r="E19" s="102" t="s">
        <v>291</v>
      </c>
      <c r="F19" s="103" t="s">
        <v>292</v>
      </c>
      <c r="G19" s="104" t="s">
        <v>293</v>
      </c>
    </row>
    <row r="20" spans="2:10" ht="35.450000000000003" customHeight="1" thickTop="1">
      <c r="B20" s="217" t="s">
        <v>294</v>
      </c>
      <c r="C20" s="105">
        <v>2</v>
      </c>
      <c r="D20" s="106" t="s">
        <v>266</v>
      </c>
      <c r="E20" s="107" t="s">
        <v>278</v>
      </c>
      <c r="F20" s="108" t="s">
        <v>295</v>
      </c>
      <c r="G20" s="109" t="s">
        <v>295</v>
      </c>
    </row>
    <row r="21" spans="2:10" ht="35.450000000000003" customHeight="1">
      <c r="B21" s="217"/>
      <c r="C21" s="94">
        <v>3</v>
      </c>
      <c r="D21" s="95" t="s">
        <v>259</v>
      </c>
      <c r="E21" s="110" t="s">
        <v>296</v>
      </c>
      <c r="F21" s="111" t="s">
        <v>297</v>
      </c>
      <c r="G21" s="112" t="s">
        <v>298</v>
      </c>
    </row>
    <row r="22" spans="2:10" ht="35.450000000000003" customHeight="1">
      <c r="B22" s="217"/>
      <c r="C22" s="98">
        <v>5</v>
      </c>
      <c r="D22" s="95" t="s">
        <v>252</v>
      </c>
      <c r="E22" s="110" t="s">
        <v>299</v>
      </c>
      <c r="F22" s="111" t="s">
        <v>300</v>
      </c>
      <c r="G22" s="112" t="s">
        <v>301</v>
      </c>
    </row>
    <row r="23" spans="2:10" ht="35.450000000000003" customHeight="1">
      <c r="B23" s="217"/>
      <c r="C23" s="99">
        <v>7</v>
      </c>
      <c r="D23" s="95" t="s">
        <v>245</v>
      </c>
      <c r="E23" s="110" t="s">
        <v>302</v>
      </c>
      <c r="F23" s="111" t="s">
        <v>303</v>
      </c>
      <c r="G23" s="112" t="s">
        <v>304</v>
      </c>
    </row>
    <row r="24" spans="2:10" ht="35.450000000000003" customHeight="1" thickBot="1">
      <c r="B24" s="217"/>
      <c r="C24" s="100">
        <v>10</v>
      </c>
      <c r="D24" s="101" t="s">
        <v>290</v>
      </c>
      <c r="E24" s="110" t="s">
        <v>305</v>
      </c>
      <c r="F24" s="113" t="s">
        <v>306</v>
      </c>
      <c r="G24" s="114" t="s">
        <v>307</v>
      </c>
    </row>
    <row r="25" spans="2:10" ht="35.450000000000003" customHeight="1" thickTop="1">
      <c r="B25" s="217" t="s">
        <v>308</v>
      </c>
      <c r="C25" s="105">
        <v>2</v>
      </c>
      <c r="D25" s="115" t="s">
        <v>266</v>
      </c>
      <c r="E25" s="107" t="s">
        <v>309</v>
      </c>
      <c r="F25" s="109" t="s">
        <v>278</v>
      </c>
      <c r="G25" s="109" t="s">
        <v>280</v>
      </c>
    </row>
    <row r="26" spans="2:10" ht="35.450000000000003" customHeight="1">
      <c r="B26" s="217"/>
      <c r="C26" s="94">
        <v>3</v>
      </c>
      <c r="D26" s="116" t="s">
        <v>259</v>
      </c>
      <c r="E26" s="96" t="s">
        <v>310</v>
      </c>
      <c r="F26" s="112" t="s">
        <v>311</v>
      </c>
      <c r="G26" s="112" t="s">
        <v>312</v>
      </c>
    </row>
    <row r="27" spans="2:10" ht="35.450000000000003" customHeight="1">
      <c r="B27" s="217"/>
      <c r="C27" s="98">
        <v>5</v>
      </c>
      <c r="D27" s="116" t="s">
        <v>252</v>
      </c>
      <c r="E27" s="96" t="s">
        <v>300</v>
      </c>
      <c r="F27" s="112" t="s">
        <v>313</v>
      </c>
      <c r="G27" s="112" t="s">
        <v>314</v>
      </c>
    </row>
    <row r="28" spans="2:10" ht="35.450000000000003" customHeight="1">
      <c r="B28" s="217"/>
      <c r="C28" s="99">
        <v>7</v>
      </c>
      <c r="D28" s="116" t="s">
        <v>245</v>
      </c>
      <c r="E28" s="96" t="s">
        <v>303</v>
      </c>
      <c r="F28" s="112" t="s">
        <v>315</v>
      </c>
      <c r="G28" s="112" t="s">
        <v>316</v>
      </c>
    </row>
    <row r="29" spans="2:10" ht="35.450000000000003" customHeight="1">
      <c r="B29" s="217"/>
      <c r="C29" s="117">
        <v>10</v>
      </c>
      <c r="D29" s="116" t="s">
        <v>290</v>
      </c>
      <c r="E29" s="96" t="s">
        <v>306</v>
      </c>
      <c r="F29" s="112" t="s">
        <v>317</v>
      </c>
      <c r="G29" s="112" t="s">
        <v>318</v>
      </c>
    </row>
    <row r="30" spans="2:10">
      <c r="C30" s="118"/>
      <c r="D30" s="118"/>
      <c r="E30" s="118"/>
      <c r="F30" s="119"/>
      <c r="G30" s="119"/>
      <c r="H30" s="119"/>
      <c r="I30" s="119"/>
      <c r="J30" s="119"/>
    </row>
    <row r="31" spans="2:10" ht="35.1" customHeight="1">
      <c r="C31" s="218" t="s">
        <v>319</v>
      </c>
      <c r="D31" s="218"/>
      <c r="E31" s="218"/>
      <c r="G31" s="219" t="s">
        <v>320</v>
      </c>
      <c r="H31" s="219"/>
      <c r="I31" s="219"/>
      <c r="J31" s="120"/>
    </row>
    <row r="32" spans="2:10" ht="35.1" customHeight="1">
      <c r="C32" s="67" t="s">
        <v>321</v>
      </c>
      <c r="D32" s="67" t="s">
        <v>233</v>
      </c>
      <c r="E32" s="67" t="s">
        <v>322</v>
      </c>
      <c r="G32" s="121" t="s">
        <v>232</v>
      </c>
      <c r="H32" s="121" t="s">
        <v>323</v>
      </c>
      <c r="I32" s="121" t="s">
        <v>233</v>
      </c>
      <c r="J32" s="82"/>
    </row>
    <row r="33" spans="3:9" ht="99.95" customHeight="1">
      <c r="C33" s="69">
        <v>6</v>
      </c>
      <c r="D33" s="70" t="s">
        <v>324</v>
      </c>
      <c r="E33" s="122" t="s">
        <v>325</v>
      </c>
      <c r="G33" s="123">
        <v>4</v>
      </c>
      <c r="H33" s="124">
        <v>0.1</v>
      </c>
      <c r="I33" s="125" t="s">
        <v>326</v>
      </c>
    </row>
    <row r="34" spans="3:9" ht="99.95" customHeight="1">
      <c r="C34" s="73">
        <v>5</v>
      </c>
      <c r="D34" s="74" t="s">
        <v>327</v>
      </c>
      <c r="E34" s="126" t="s">
        <v>328</v>
      </c>
      <c r="G34" s="127">
        <v>3</v>
      </c>
      <c r="H34" s="128">
        <v>0.25</v>
      </c>
      <c r="I34" s="129" t="s">
        <v>329</v>
      </c>
    </row>
    <row r="35" spans="3:9" ht="99.95" customHeight="1">
      <c r="C35" s="73">
        <v>4</v>
      </c>
      <c r="D35" s="74" t="s">
        <v>330</v>
      </c>
      <c r="E35" s="126" t="s">
        <v>331</v>
      </c>
      <c r="G35" s="130">
        <v>2</v>
      </c>
      <c r="H35" s="128">
        <v>0.5</v>
      </c>
      <c r="I35" s="129" t="s">
        <v>332</v>
      </c>
    </row>
    <row r="36" spans="3:9" ht="99.95" customHeight="1">
      <c r="C36" s="73">
        <v>3</v>
      </c>
      <c r="D36" s="74" t="s">
        <v>333</v>
      </c>
      <c r="E36" s="126" t="s">
        <v>334</v>
      </c>
      <c r="G36" s="131">
        <v>1</v>
      </c>
      <c r="H36" s="128">
        <v>0.75</v>
      </c>
      <c r="I36" s="129" t="s">
        <v>335</v>
      </c>
    </row>
    <row r="37" spans="3:9" ht="99.95" customHeight="1">
      <c r="C37" s="77">
        <v>2</v>
      </c>
      <c r="D37" s="78" t="s">
        <v>336</v>
      </c>
      <c r="E37" s="126" t="s">
        <v>337</v>
      </c>
      <c r="G37" s="132">
        <v>0</v>
      </c>
      <c r="H37" s="128">
        <v>1</v>
      </c>
      <c r="I37" s="129" t="s">
        <v>338</v>
      </c>
    </row>
    <row r="38" spans="3:9" ht="38.1" customHeight="1"/>
    <row r="39" spans="3:9" ht="38.1" customHeight="1"/>
    <row r="40" spans="3:9" ht="36.6" customHeight="1"/>
    <row r="41" spans="3:9" ht="69.95" customHeight="1"/>
    <row r="42" spans="3:9" ht="69.95" customHeight="1"/>
    <row r="43" spans="3:9" ht="69.95" customHeight="1"/>
    <row r="44" spans="3:9" ht="69.95" customHeight="1"/>
    <row r="45" spans="3:9" ht="69.95" customHeight="1"/>
  </sheetData>
  <mergeCells count="8">
    <mergeCell ref="B25:B29"/>
    <mergeCell ref="C31:E31"/>
    <mergeCell ref="G31:I31"/>
    <mergeCell ref="C2:E3"/>
    <mergeCell ref="C5:J5"/>
    <mergeCell ref="C13:G13"/>
    <mergeCell ref="B15:B19"/>
    <mergeCell ref="B20:B24"/>
  </mergeCells>
  <conditionalFormatting sqref="C7:C1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3:C3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C2:E3" location="Copertina!A1" display="Metriche di valutazione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autoPageBreaks="0"/>
  </sheetPr>
  <dimension ref="B2:S68"/>
  <sheetViews>
    <sheetView showGridLines="0" topLeftCell="G3" zoomScale="110" zoomScaleNormal="110" workbookViewId="0">
      <selection activeCell="G3" sqref="G3:G8"/>
    </sheetView>
  </sheetViews>
  <sheetFormatPr defaultColWidth="8.85546875" defaultRowHeight="14.25"/>
  <cols>
    <col min="1" max="1" width="1.42578125" style="34" customWidth="1"/>
    <col min="2" max="2" width="30.42578125" style="34" customWidth="1"/>
    <col min="3" max="3" width="30.42578125" style="141" customWidth="1"/>
    <col min="4" max="4" width="12.7109375" style="170" bestFit="1" customWidth="1"/>
    <col min="5" max="5" width="16" style="158" bestFit="1" customWidth="1"/>
    <col min="6" max="6" width="2.85546875" style="158" customWidth="1"/>
    <col min="7" max="7" width="25.85546875" style="34" customWidth="1"/>
    <col min="8" max="8" width="25.85546875" style="155" customWidth="1"/>
    <col min="9" max="9" width="5.140625" style="34" customWidth="1"/>
    <col min="10" max="10" width="16" style="34" customWidth="1"/>
    <col min="11" max="11" width="20.42578125" style="34" customWidth="1"/>
    <col min="12" max="12" width="4.140625" style="34" customWidth="1"/>
    <col min="13" max="13" width="16" style="34" customWidth="1"/>
    <col min="14" max="14" width="19.140625" style="34" customWidth="1"/>
    <col min="15" max="15" width="8.85546875" style="34"/>
    <col min="16" max="16" width="41.140625" style="34" customWidth="1"/>
    <col min="17" max="17" width="40.5703125" style="34" bestFit="1" customWidth="1"/>
    <col min="18" max="18" width="46" style="34" customWidth="1"/>
    <col min="19" max="19" width="16.42578125" style="34" customWidth="1"/>
    <col min="20" max="16384" width="8.85546875" style="34"/>
  </cols>
  <sheetData>
    <row r="2" spans="2:19" ht="30">
      <c r="B2" s="133" t="s">
        <v>14</v>
      </c>
      <c r="C2" s="133" t="s">
        <v>339</v>
      </c>
      <c r="D2" s="133" t="s">
        <v>13</v>
      </c>
      <c r="E2" s="47" t="s">
        <v>418</v>
      </c>
      <c r="F2" s="134"/>
      <c r="G2" s="47" t="s">
        <v>341</v>
      </c>
      <c r="H2" s="48" t="s">
        <v>340</v>
      </c>
      <c r="J2" s="48" t="s">
        <v>342</v>
      </c>
      <c r="K2" s="48" t="s">
        <v>343</v>
      </c>
      <c r="M2" s="48" t="s">
        <v>344</v>
      </c>
      <c r="N2" s="48" t="s">
        <v>323</v>
      </c>
      <c r="P2" s="135" t="s">
        <v>75</v>
      </c>
      <c r="Q2" s="135" t="s">
        <v>77</v>
      </c>
      <c r="R2" s="135" t="s">
        <v>345</v>
      </c>
      <c r="S2" s="47" t="s">
        <v>340</v>
      </c>
    </row>
    <row r="3" spans="2:19" ht="15">
      <c r="B3" s="23" t="s">
        <v>346</v>
      </c>
      <c r="C3" s="136"/>
      <c r="D3" s="136"/>
      <c r="E3" s="137" t="s">
        <v>347</v>
      </c>
      <c r="F3" s="134"/>
      <c r="G3" s="138" t="s">
        <v>348</v>
      </c>
      <c r="H3" s="139" t="s">
        <v>349</v>
      </c>
      <c r="J3" s="140" t="s">
        <v>350</v>
      </c>
      <c r="K3" s="140" t="s">
        <v>350</v>
      </c>
      <c r="L3" s="141"/>
      <c r="M3" s="142">
        <v>4</v>
      </c>
      <c r="N3" s="140">
        <v>0.1</v>
      </c>
      <c r="P3" s="143" t="s">
        <v>351</v>
      </c>
      <c r="Q3" s="144" t="s">
        <v>102</v>
      </c>
      <c r="R3" s="145" t="s">
        <v>350</v>
      </c>
      <c r="S3" s="146" t="s">
        <v>349</v>
      </c>
    </row>
    <row r="4" spans="2:19">
      <c r="B4" s="23" t="s">
        <v>352</v>
      </c>
      <c r="C4" s="28"/>
      <c r="D4" s="136"/>
      <c r="E4" s="137" t="s">
        <v>353</v>
      </c>
      <c r="F4" s="141"/>
      <c r="G4" s="138" t="s">
        <v>354</v>
      </c>
      <c r="H4" s="139" t="s">
        <v>355</v>
      </c>
      <c r="J4" s="140">
        <v>2</v>
      </c>
      <c r="K4" s="140">
        <v>2</v>
      </c>
      <c r="M4" s="147">
        <v>3</v>
      </c>
      <c r="N4" s="140">
        <v>0.25</v>
      </c>
      <c r="P4" s="143" t="s">
        <v>351</v>
      </c>
      <c r="Q4" s="144" t="s">
        <v>104</v>
      </c>
      <c r="R4" s="145" t="s">
        <v>350</v>
      </c>
      <c r="S4" s="146" t="s">
        <v>349</v>
      </c>
    </row>
    <row r="5" spans="2:19" ht="25.5">
      <c r="B5" s="23" t="s">
        <v>356</v>
      </c>
      <c r="C5" s="136"/>
      <c r="D5" s="136"/>
      <c r="E5" s="137" t="s">
        <v>357</v>
      </c>
      <c r="F5" s="141"/>
      <c r="G5" s="138" t="s">
        <v>64</v>
      </c>
      <c r="H5" s="139" t="s">
        <v>358</v>
      </c>
      <c r="J5" s="148">
        <v>3</v>
      </c>
      <c r="K5" s="148">
        <v>3</v>
      </c>
      <c r="M5" s="149">
        <v>2</v>
      </c>
      <c r="N5" s="148">
        <v>0.5</v>
      </c>
      <c r="P5" s="143" t="s">
        <v>351</v>
      </c>
      <c r="Q5" s="144" t="s">
        <v>106</v>
      </c>
      <c r="R5" s="145" t="s">
        <v>350</v>
      </c>
      <c r="S5" s="146" t="s">
        <v>349</v>
      </c>
    </row>
    <row r="6" spans="2:19">
      <c r="B6" s="23" t="s">
        <v>359</v>
      </c>
      <c r="C6" s="136"/>
      <c r="D6" s="136"/>
      <c r="E6" s="137" t="s">
        <v>360</v>
      </c>
      <c r="F6" s="141"/>
      <c r="G6" s="138" t="s">
        <v>361</v>
      </c>
      <c r="H6" s="139" t="s">
        <v>362</v>
      </c>
      <c r="J6" s="150">
        <v>5</v>
      </c>
      <c r="K6" s="150">
        <v>4</v>
      </c>
      <c r="M6" s="151">
        <v>1</v>
      </c>
      <c r="N6" s="150">
        <v>0.75</v>
      </c>
      <c r="P6" s="143" t="s">
        <v>351</v>
      </c>
      <c r="Q6" s="144" t="s">
        <v>108</v>
      </c>
      <c r="R6" s="145" t="s">
        <v>350</v>
      </c>
      <c r="S6" s="146" t="s">
        <v>349</v>
      </c>
    </row>
    <row r="7" spans="2:19">
      <c r="B7" s="23" t="s">
        <v>363</v>
      </c>
      <c r="C7" s="136"/>
      <c r="D7" s="136"/>
      <c r="E7" s="137" t="s">
        <v>364</v>
      </c>
      <c r="F7" s="141"/>
      <c r="G7" s="138" t="s">
        <v>66</v>
      </c>
      <c r="H7" s="139" t="s">
        <v>365</v>
      </c>
      <c r="J7" s="150">
        <v>7</v>
      </c>
      <c r="K7" s="150">
        <v>5</v>
      </c>
      <c r="M7" s="152">
        <v>0</v>
      </c>
      <c r="N7" s="150">
        <v>1</v>
      </c>
      <c r="P7" s="143" t="s">
        <v>351</v>
      </c>
      <c r="Q7" s="144" t="s">
        <v>110</v>
      </c>
      <c r="R7" s="145" t="s">
        <v>350</v>
      </c>
      <c r="S7" s="146" t="s">
        <v>349</v>
      </c>
    </row>
    <row r="8" spans="2:19">
      <c r="B8" s="23" t="s">
        <v>366</v>
      </c>
      <c r="C8" s="136"/>
      <c r="D8" s="136"/>
      <c r="E8" s="137" t="s">
        <v>367</v>
      </c>
      <c r="F8" s="141"/>
      <c r="G8" s="153" t="s">
        <v>62</v>
      </c>
      <c r="H8" s="154" t="s">
        <v>368</v>
      </c>
      <c r="J8" s="150">
        <v>10</v>
      </c>
      <c r="K8" s="150">
        <v>6</v>
      </c>
      <c r="P8" s="143" t="s">
        <v>351</v>
      </c>
      <c r="Q8" s="144" t="s">
        <v>112</v>
      </c>
      <c r="R8" s="145" t="s">
        <v>350</v>
      </c>
      <c r="S8" s="146" t="s">
        <v>349</v>
      </c>
    </row>
    <row r="9" spans="2:19" ht="25.5">
      <c r="B9" s="136" t="s">
        <v>369</v>
      </c>
      <c r="C9" s="136"/>
      <c r="D9" s="136"/>
      <c r="E9" s="137" t="s">
        <v>370</v>
      </c>
      <c r="F9" s="141"/>
      <c r="P9" s="143" t="s">
        <v>351</v>
      </c>
      <c r="Q9" s="144" t="s">
        <v>114</v>
      </c>
      <c r="R9" s="145" t="s">
        <v>350</v>
      </c>
      <c r="S9" s="146" t="s">
        <v>349</v>
      </c>
    </row>
    <row r="10" spans="2:19" ht="15">
      <c r="B10" s="136" t="s">
        <v>61</v>
      </c>
      <c r="C10" s="136"/>
      <c r="D10" s="136"/>
      <c r="E10" s="137" t="s">
        <v>371</v>
      </c>
      <c r="F10" s="141"/>
      <c r="J10" s="156"/>
      <c r="K10" s="156"/>
      <c r="M10" s="156"/>
      <c r="N10" s="156"/>
      <c r="P10" s="143" t="s">
        <v>351</v>
      </c>
      <c r="Q10" s="144" t="s">
        <v>116</v>
      </c>
      <c r="R10" s="145" t="s">
        <v>350</v>
      </c>
      <c r="S10" s="146" t="s">
        <v>349</v>
      </c>
    </row>
    <row r="11" spans="2:19">
      <c r="B11" s="136" t="s">
        <v>372</v>
      </c>
      <c r="C11" s="136"/>
      <c r="D11" s="136"/>
      <c r="E11" s="137" t="s">
        <v>373</v>
      </c>
      <c r="F11" s="141"/>
      <c r="J11" s="157"/>
      <c r="K11" s="141"/>
      <c r="L11" s="141"/>
      <c r="M11" s="157"/>
      <c r="N11" s="141"/>
      <c r="P11" s="143" t="s">
        <v>351</v>
      </c>
      <c r="Q11" s="144" t="s">
        <v>118</v>
      </c>
      <c r="R11" s="145" t="s">
        <v>350</v>
      </c>
      <c r="S11" s="146" t="s">
        <v>349</v>
      </c>
    </row>
    <row r="12" spans="2:19">
      <c r="B12" s="136" t="s">
        <v>374</v>
      </c>
      <c r="C12" s="136"/>
      <c r="D12" s="136"/>
      <c r="E12" s="137" t="s">
        <v>375</v>
      </c>
      <c r="F12" s="141"/>
      <c r="J12" s="141"/>
      <c r="K12" s="141"/>
      <c r="M12" s="157"/>
      <c r="N12" s="141"/>
      <c r="P12" s="143" t="s">
        <v>351</v>
      </c>
      <c r="Q12" s="144" t="s">
        <v>120</v>
      </c>
      <c r="R12" s="145" t="s">
        <v>350</v>
      </c>
      <c r="S12" s="146" t="s">
        <v>349</v>
      </c>
    </row>
    <row r="13" spans="2:19" ht="25.5">
      <c r="B13" s="136" t="s">
        <v>376</v>
      </c>
      <c r="C13" s="136"/>
      <c r="D13" s="136"/>
      <c r="E13" s="137" t="s">
        <v>377</v>
      </c>
      <c r="F13" s="141"/>
      <c r="J13" s="141"/>
      <c r="K13" s="141"/>
      <c r="M13" s="141"/>
      <c r="N13" s="141"/>
      <c r="P13" s="143" t="s">
        <v>351</v>
      </c>
      <c r="Q13" s="144" t="s">
        <v>122</v>
      </c>
      <c r="R13" s="145" t="s">
        <v>350</v>
      </c>
      <c r="S13" s="146" t="s">
        <v>349</v>
      </c>
    </row>
    <row r="14" spans="2:19">
      <c r="B14" s="136" t="s">
        <v>378</v>
      </c>
      <c r="C14" s="136"/>
      <c r="D14" s="136"/>
      <c r="E14" s="137" t="s">
        <v>379</v>
      </c>
      <c r="F14" s="141"/>
      <c r="J14" s="141"/>
      <c r="K14" s="141"/>
      <c r="M14" s="141"/>
      <c r="N14" s="141"/>
      <c r="P14" s="143" t="s">
        <v>351</v>
      </c>
      <c r="Q14" s="144" t="s">
        <v>124</v>
      </c>
      <c r="R14" s="145" t="s">
        <v>350</v>
      </c>
      <c r="S14" s="146" t="s">
        <v>349</v>
      </c>
    </row>
    <row r="15" spans="2:19">
      <c r="B15" s="27" t="s">
        <v>380</v>
      </c>
      <c r="C15" s="136"/>
      <c r="D15" s="136"/>
      <c r="E15" s="137" t="s">
        <v>381</v>
      </c>
      <c r="F15" s="141"/>
      <c r="J15" s="141"/>
      <c r="K15" s="141"/>
      <c r="M15" s="141"/>
      <c r="N15" s="141"/>
      <c r="P15" s="143" t="s">
        <v>351</v>
      </c>
      <c r="Q15" s="144" t="s">
        <v>126</v>
      </c>
      <c r="R15" s="145" t="s">
        <v>350</v>
      </c>
      <c r="S15" s="146" t="s">
        <v>349</v>
      </c>
    </row>
    <row r="16" spans="2:19" ht="25.5">
      <c r="B16" s="136" t="s">
        <v>382</v>
      </c>
      <c r="C16" s="136"/>
      <c r="D16" s="136"/>
      <c r="E16" s="137" t="s">
        <v>383</v>
      </c>
      <c r="G16" s="159"/>
      <c r="H16" s="160"/>
      <c r="J16" s="141"/>
      <c r="K16" s="141"/>
      <c r="M16" s="141"/>
      <c r="N16" s="141"/>
      <c r="P16" s="143" t="s">
        <v>351</v>
      </c>
      <c r="Q16" s="144" t="s">
        <v>128</v>
      </c>
      <c r="R16" s="145" t="s">
        <v>350</v>
      </c>
      <c r="S16" s="146" t="s">
        <v>349</v>
      </c>
    </row>
    <row r="17" spans="2:19" ht="15">
      <c r="B17" s="23" t="s">
        <v>384</v>
      </c>
      <c r="C17" s="136"/>
      <c r="D17" s="136"/>
      <c r="E17" s="137" t="s">
        <v>385</v>
      </c>
      <c r="F17" s="134"/>
      <c r="G17" s="161"/>
      <c r="H17" s="3"/>
      <c r="I17" s="134"/>
      <c r="M17" s="141"/>
      <c r="N17" s="141"/>
      <c r="P17" s="143" t="s">
        <v>354</v>
      </c>
      <c r="Q17" s="162" t="s">
        <v>131</v>
      </c>
      <c r="R17" s="145" t="s">
        <v>350</v>
      </c>
      <c r="S17" s="163" t="s">
        <v>355</v>
      </c>
    </row>
    <row r="18" spans="2:19" ht="25.5">
      <c r="B18" s="23" t="s">
        <v>386</v>
      </c>
      <c r="C18" s="136"/>
      <c r="D18" s="136"/>
      <c r="E18" s="137" t="s">
        <v>387</v>
      </c>
      <c r="F18" s="134"/>
      <c r="G18" s="161"/>
      <c r="H18" s="3"/>
      <c r="I18" s="134"/>
      <c r="J18" s="141"/>
      <c r="K18" s="141"/>
      <c r="M18" s="141"/>
      <c r="N18" s="141"/>
      <c r="P18" s="143" t="s">
        <v>354</v>
      </c>
      <c r="Q18" s="162" t="s">
        <v>388</v>
      </c>
      <c r="R18" s="145" t="s">
        <v>350</v>
      </c>
      <c r="S18" s="163" t="s">
        <v>355</v>
      </c>
    </row>
    <row r="19" spans="2:19">
      <c r="B19" s="23" t="s">
        <v>389</v>
      </c>
      <c r="C19" s="136"/>
      <c r="D19" s="136"/>
      <c r="E19" s="137" t="s">
        <v>390</v>
      </c>
      <c r="F19" s="164"/>
      <c r="G19" s="165"/>
      <c r="H19" s="166"/>
      <c r="I19" s="167"/>
      <c r="J19" s="141"/>
      <c r="K19" s="141"/>
      <c r="M19" s="141"/>
      <c r="N19" s="141"/>
      <c r="P19" s="143" t="s">
        <v>354</v>
      </c>
      <c r="Q19" s="162" t="s">
        <v>135</v>
      </c>
      <c r="R19" s="145" t="s">
        <v>350</v>
      </c>
      <c r="S19" s="163" t="s">
        <v>355</v>
      </c>
    </row>
    <row r="20" spans="2:19">
      <c r="B20" s="136" t="s">
        <v>391</v>
      </c>
      <c r="C20" s="136"/>
      <c r="D20" s="136"/>
      <c r="E20" s="137" t="s">
        <v>392</v>
      </c>
      <c r="F20" s="164"/>
      <c r="G20" s="161"/>
      <c r="H20" s="3"/>
      <c r="I20" s="168"/>
      <c r="J20" s="141"/>
      <c r="K20" s="141"/>
      <c r="M20" s="141"/>
      <c r="N20" s="141"/>
      <c r="P20" s="143" t="s">
        <v>354</v>
      </c>
      <c r="Q20" s="162" t="s">
        <v>137</v>
      </c>
      <c r="R20" s="145" t="s">
        <v>350</v>
      </c>
      <c r="S20" s="163" t="s">
        <v>355</v>
      </c>
    </row>
    <row r="21" spans="2:19">
      <c r="B21" s="136" t="s">
        <v>393</v>
      </c>
      <c r="C21" s="136"/>
      <c r="D21" s="136"/>
      <c r="E21" s="137" t="s">
        <v>394</v>
      </c>
      <c r="F21" s="164"/>
      <c r="G21" s="161"/>
      <c r="I21" s="168"/>
      <c r="J21" s="141"/>
      <c r="K21" s="141"/>
      <c r="M21" s="141"/>
      <c r="N21" s="141"/>
      <c r="P21" s="143" t="s">
        <v>354</v>
      </c>
      <c r="Q21" s="162" t="s">
        <v>139</v>
      </c>
      <c r="R21" s="145" t="s">
        <v>350</v>
      </c>
      <c r="S21" s="163" t="s">
        <v>355</v>
      </c>
    </row>
    <row r="22" spans="2:19">
      <c r="B22" s="136" t="s">
        <v>395</v>
      </c>
      <c r="C22" s="136"/>
      <c r="D22" s="136"/>
      <c r="E22" s="137" t="s">
        <v>396</v>
      </c>
      <c r="F22" s="164"/>
      <c r="G22" s="161"/>
      <c r="I22" s="168"/>
      <c r="J22" s="141"/>
      <c r="K22" s="141"/>
      <c r="P22" s="143" t="s">
        <v>354</v>
      </c>
      <c r="Q22" s="162" t="s">
        <v>141</v>
      </c>
      <c r="R22" s="145" t="s">
        <v>350</v>
      </c>
      <c r="S22" s="163" t="s">
        <v>355</v>
      </c>
    </row>
    <row r="23" spans="2:19">
      <c r="B23" s="136" t="s">
        <v>397</v>
      </c>
      <c r="C23" s="136"/>
      <c r="D23" s="136"/>
      <c r="E23" s="137" t="s">
        <v>398</v>
      </c>
      <c r="F23" s="164"/>
      <c r="G23" s="161"/>
      <c r="I23" s="168"/>
      <c r="M23" s="141"/>
      <c r="P23" s="143" t="s">
        <v>64</v>
      </c>
      <c r="Q23" s="162" t="s">
        <v>144</v>
      </c>
      <c r="R23" s="145" t="s">
        <v>350</v>
      </c>
      <c r="S23" s="163" t="s">
        <v>358</v>
      </c>
    </row>
    <row r="24" spans="2:19" ht="25.5">
      <c r="B24" s="136" t="s">
        <v>399</v>
      </c>
      <c r="C24" s="136"/>
      <c r="D24" s="136"/>
      <c r="E24" s="137" t="s">
        <v>400</v>
      </c>
      <c r="F24" s="164"/>
      <c r="G24" s="161"/>
      <c r="I24" s="168"/>
      <c r="P24" s="143" t="s">
        <v>64</v>
      </c>
      <c r="Q24" s="169" t="s">
        <v>146</v>
      </c>
      <c r="R24" s="145" t="s">
        <v>350</v>
      </c>
      <c r="S24" s="163" t="s">
        <v>358</v>
      </c>
    </row>
    <row r="25" spans="2:19" ht="25.5">
      <c r="B25" s="177" t="s">
        <v>401</v>
      </c>
      <c r="C25" s="136"/>
      <c r="D25" s="136"/>
      <c r="E25" s="137" t="s">
        <v>402</v>
      </c>
      <c r="F25" s="164"/>
      <c r="G25" s="165"/>
      <c r="I25" s="168"/>
      <c r="P25" s="143" t="s">
        <v>64</v>
      </c>
      <c r="Q25" s="162" t="s">
        <v>148</v>
      </c>
      <c r="R25" s="145" t="s">
        <v>350</v>
      </c>
      <c r="S25" s="163" t="s">
        <v>358</v>
      </c>
    </row>
    <row r="26" spans="2:19" ht="15">
      <c r="C26" s="150"/>
      <c r="D26" s="178"/>
      <c r="E26" s="179" t="s">
        <v>416</v>
      </c>
      <c r="F26" s="164"/>
      <c r="G26" s="161"/>
      <c r="I26" s="168"/>
      <c r="P26" s="171" t="s">
        <v>64</v>
      </c>
      <c r="Q26" s="172" t="s">
        <v>65</v>
      </c>
      <c r="R26" s="145" t="s">
        <v>350</v>
      </c>
      <c r="S26" s="172" t="s">
        <v>358</v>
      </c>
    </row>
    <row r="27" spans="2:19">
      <c r="F27" s="173"/>
      <c r="G27" s="161"/>
      <c r="I27" s="168"/>
      <c r="P27" s="143" t="s">
        <v>64</v>
      </c>
      <c r="Q27" s="169" t="s">
        <v>151</v>
      </c>
      <c r="R27" s="145" t="s">
        <v>350</v>
      </c>
      <c r="S27" s="163" t="s">
        <v>358</v>
      </c>
    </row>
    <row r="28" spans="2:19">
      <c r="F28" s="164"/>
      <c r="G28" s="161"/>
      <c r="I28" s="168"/>
      <c r="P28" s="143" t="s">
        <v>361</v>
      </c>
      <c r="Q28" s="162" t="s">
        <v>154</v>
      </c>
      <c r="R28" s="145" t="s">
        <v>350</v>
      </c>
      <c r="S28" s="163" t="s">
        <v>362</v>
      </c>
    </row>
    <row r="29" spans="2:19">
      <c r="F29" s="164"/>
      <c r="G29" s="161"/>
      <c r="I29" s="168"/>
      <c r="P29" s="143" t="s">
        <v>361</v>
      </c>
      <c r="Q29" s="162" t="s">
        <v>156</v>
      </c>
      <c r="R29" s="145" t="s">
        <v>350</v>
      </c>
      <c r="S29" s="163" t="s">
        <v>362</v>
      </c>
    </row>
    <row r="30" spans="2:19">
      <c r="F30" s="164"/>
      <c r="G30" s="161"/>
      <c r="I30" s="168"/>
      <c r="P30" s="143" t="s">
        <v>361</v>
      </c>
      <c r="Q30" s="162" t="s">
        <v>158</v>
      </c>
      <c r="R30" s="145" t="s">
        <v>350</v>
      </c>
      <c r="S30" s="163" t="s">
        <v>362</v>
      </c>
    </row>
    <row r="31" spans="2:19" ht="18.75" customHeight="1">
      <c r="F31" s="164"/>
      <c r="G31" s="161"/>
      <c r="I31" s="168"/>
      <c r="P31" s="143" t="s">
        <v>361</v>
      </c>
      <c r="Q31" s="162" t="s">
        <v>160</v>
      </c>
      <c r="R31" s="145" t="s">
        <v>350</v>
      </c>
      <c r="S31" s="163" t="s">
        <v>362</v>
      </c>
    </row>
    <row r="32" spans="2:19" ht="18.75" customHeight="1">
      <c r="F32" s="164"/>
      <c r="G32" s="161"/>
      <c r="H32" s="174"/>
      <c r="I32" s="175"/>
      <c r="J32" s="168"/>
      <c r="P32" s="143" t="s">
        <v>361</v>
      </c>
      <c r="Q32" s="162" t="s">
        <v>162</v>
      </c>
      <c r="R32" s="145" t="s">
        <v>350</v>
      </c>
      <c r="S32" s="163" t="s">
        <v>362</v>
      </c>
    </row>
    <row r="33" spans="6:19">
      <c r="F33" s="164"/>
      <c r="G33" s="161"/>
      <c r="H33" s="3"/>
      <c r="I33" s="175"/>
      <c r="J33" s="168"/>
      <c r="P33" s="143" t="s">
        <v>361</v>
      </c>
      <c r="Q33" s="162" t="s">
        <v>164</v>
      </c>
      <c r="R33" s="145" t="s">
        <v>350</v>
      </c>
      <c r="S33" s="163" t="s">
        <v>362</v>
      </c>
    </row>
    <row r="34" spans="6:19">
      <c r="F34" s="164"/>
      <c r="G34" s="161"/>
      <c r="H34" s="3"/>
      <c r="I34" s="175"/>
      <c r="J34" s="168"/>
      <c r="P34" s="143" t="s">
        <v>66</v>
      </c>
      <c r="Q34" s="144" t="s">
        <v>68</v>
      </c>
      <c r="R34" s="145" t="s">
        <v>350</v>
      </c>
      <c r="S34" s="163" t="s">
        <v>365</v>
      </c>
    </row>
    <row r="35" spans="6:19">
      <c r="F35" s="173"/>
      <c r="G35" s="161"/>
      <c r="H35" s="3"/>
      <c r="I35" s="175"/>
      <c r="J35" s="168"/>
      <c r="K35" s="168"/>
      <c r="P35" s="143" t="s">
        <v>66</v>
      </c>
      <c r="Q35" s="144" t="s">
        <v>168</v>
      </c>
      <c r="R35" s="145" t="s">
        <v>350</v>
      </c>
      <c r="S35" s="163" t="s">
        <v>365</v>
      </c>
    </row>
    <row r="36" spans="6:19" ht="18.75" customHeight="1">
      <c r="F36" s="164"/>
      <c r="G36" s="161"/>
      <c r="H36" s="3"/>
      <c r="I36" s="175"/>
      <c r="J36" s="168"/>
      <c r="K36" s="168"/>
      <c r="P36" s="143" t="s">
        <v>66</v>
      </c>
      <c r="Q36" s="144" t="s">
        <v>170</v>
      </c>
      <c r="R36" s="145" t="s">
        <v>350</v>
      </c>
      <c r="S36" s="163" t="s">
        <v>365</v>
      </c>
    </row>
    <row r="37" spans="6:19">
      <c r="F37" s="164"/>
      <c r="G37" s="161"/>
      <c r="H37" s="3"/>
      <c r="I37" s="175"/>
      <c r="J37" s="168"/>
      <c r="K37" s="168"/>
      <c r="P37" s="143" t="s">
        <v>66</v>
      </c>
      <c r="Q37" s="144" t="s">
        <v>172</v>
      </c>
      <c r="R37" s="145" t="s">
        <v>350</v>
      </c>
      <c r="S37" s="163" t="s">
        <v>365</v>
      </c>
    </row>
    <row r="38" spans="6:19" ht="19.350000000000001" customHeight="1">
      <c r="F38" s="164"/>
      <c r="G38" s="161"/>
      <c r="H38" s="5"/>
      <c r="I38" s="175"/>
      <c r="J38" s="168"/>
      <c r="K38" s="168"/>
      <c r="P38" s="143" t="s">
        <v>66</v>
      </c>
      <c r="Q38" s="144" t="s">
        <v>174</v>
      </c>
      <c r="R38" s="145" t="s">
        <v>350</v>
      </c>
      <c r="S38" s="163" t="s">
        <v>365</v>
      </c>
    </row>
    <row r="39" spans="6:19">
      <c r="G39" s="161"/>
      <c r="H39" s="5"/>
      <c r="K39" s="168"/>
      <c r="P39" s="143" t="s">
        <v>66</v>
      </c>
      <c r="Q39" s="144" t="s">
        <v>176</v>
      </c>
      <c r="R39" s="145" t="s">
        <v>350</v>
      </c>
      <c r="S39" s="163" t="s">
        <v>365</v>
      </c>
    </row>
    <row r="40" spans="6:19" ht="15">
      <c r="G40" s="161"/>
      <c r="H40" s="176"/>
      <c r="K40" s="168"/>
      <c r="P40" s="143" t="s">
        <v>66</v>
      </c>
      <c r="Q40" s="144" t="s">
        <v>178</v>
      </c>
      <c r="R40" s="145" t="s">
        <v>350</v>
      </c>
      <c r="S40" s="163" t="s">
        <v>365</v>
      </c>
    </row>
    <row r="41" spans="6:19">
      <c r="G41" s="161"/>
      <c r="H41" s="166"/>
      <c r="P41" s="143" t="s">
        <v>66</v>
      </c>
      <c r="Q41" s="144" t="s">
        <v>180</v>
      </c>
      <c r="R41" s="145" t="s">
        <v>350</v>
      </c>
      <c r="S41" s="163" t="s">
        <v>365</v>
      </c>
    </row>
    <row r="42" spans="6:19">
      <c r="G42" s="161"/>
      <c r="H42" s="166"/>
      <c r="P42" s="143" t="s">
        <v>66</v>
      </c>
      <c r="Q42" s="144" t="s">
        <v>182</v>
      </c>
      <c r="R42" s="145" t="s">
        <v>350</v>
      </c>
      <c r="S42" s="163" t="s">
        <v>365</v>
      </c>
    </row>
    <row r="43" spans="6:19">
      <c r="G43" s="161"/>
      <c r="H43" s="166"/>
      <c r="P43" s="143" t="s">
        <v>66</v>
      </c>
      <c r="Q43" s="144" t="s">
        <v>184</v>
      </c>
      <c r="R43" s="145" t="s">
        <v>350</v>
      </c>
      <c r="S43" s="163" t="s">
        <v>365</v>
      </c>
    </row>
    <row r="44" spans="6:19">
      <c r="G44" s="161"/>
      <c r="H44" s="3"/>
      <c r="P44" s="143" t="s">
        <v>66</v>
      </c>
      <c r="Q44" s="162" t="s">
        <v>69</v>
      </c>
      <c r="R44" s="162" t="s">
        <v>403</v>
      </c>
      <c r="S44" s="163" t="s">
        <v>365</v>
      </c>
    </row>
    <row r="45" spans="6:19">
      <c r="P45" s="143" t="s">
        <v>66</v>
      </c>
      <c r="Q45" s="162" t="s">
        <v>404</v>
      </c>
      <c r="R45" s="162" t="s">
        <v>403</v>
      </c>
      <c r="S45" s="163" t="s">
        <v>365</v>
      </c>
    </row>
    <row r="46" spans="6:19">
      <c r="P46" s="143" t="s">
        <v>62</v>
      </c>
      <c r="Q46" s="169" t="s">
        <v>220</v>
      </c>
      <c r="R46" s="145" t="s">
        <v>350</v>
      </c>
      <c r="S46" s="163" t="s">
        <v>368</v>
      </c>
    </row>
    <row r="47" spans="6:19">
      <c r="P47" s="143" t="s">
        <v>62</v>
      </c>
      <c r="Q47" s="162" t="s">
        <v>222</v>
      </c>
      <c r="R47" s="145" t="s">
        <v>350</v>
      </c>
      <c r="S47" s="163" t="s">
        <v>368</v>
      </c>
    </row>
    <row r="48" spans="6:19">
      <c r="P48" s="143" t="s">
        <v>62</v>
      </c>
      <c r="Q48" s="162" t="s">
        <v>63</v>
      </c>
      <c r="R48" s="145" t="s">
        <v>350</v>
      </c>
      <c r="S48" s="163" t="s">
        <v>368</v>
      </c>
    </row>
    <row r="49" spans="16:19">
      <c r="P49" s="143" t="s">
        <v>62</v>
      </c>
      <c r="Q49" s="162" t="s">
        <v>225</v>
      </c>
      <c r="R49" s="145" t="s">
        <v>350</v>
      </c>
      <c r="S49" s="163" t="s">
        <v>368</v>
      </c>
    </row>
    <row r="50" spans="16:19">
      <c r="P50" s="143" t="s">
        <v>62</v>
      </c>
      <c r="Q50" s="162" t="s">
        <v>227</v>
      </c>
      <c r="R50" s="145" t="s">
        <v>350</v>
      </c>
      <c r="S50" s="163" t="s">
        <v>368</v>
      </c>
    </row>
    <row r="51" spans="16:19">
      <c r="P51" s="143" t="s">
        <v>62</v>
      </c>
      <c r="Q51" s="162" t="s">
        <v>67</v>
      </c>
      <c r="R51" s="144" t="s">
        <v>350</v>
      </c>
      <c r="S51" s="163" t="s">
        <v>368</v>
      </c>
    </row>
    <row r="53" spans="16:19" ht="15">
      <c r="P53" s="135" t="s">
        <v>75</v>
      </c>
      <c r="Q53" s="135" t="s">
        <v>77</v>
      </c>
      <c r="R53" s="135" t="s">
        <v>345</v>
      </c>
      <c r="S53" s="47" t="s">
        <v>340</v>
      </c>
    </row>
    <row r="54" spans="16:19">
      <c r="P54" s="143" t="s">
        <v>66</v>
      </c>
      <c r="Q54" s="162" t="s">
        <v>69</v>
      </c>
      <c r="R54" s="162" t="s">
        <v>187</v>
      </c>
      <c r="S54" s="163" t="s">
        <v>365</v>
      </c>
    </row>
    <row r="55" spans="16:19">
      <c r="P55" s="143" t="s">
        <v>66</v>
      </c>
      <c r="Q55" s="162" t="s">
        <v>69</v>
      </c>
      <c r="R55" s="162" t="s">
        <v>189</v>
      </c>
      <c r="S55" s="163" t="s">
        <v>365</v>
      </c>
    </row>
    <row r="56" spans="16:19">
      <c r="P56" s="143" t="s">
        <v>66</v>
      </c>
      <c r="Q56" s="162" t="s">
        <v>69</v>
      </c>
      <c r="R56" s="162" t="s">
        <v>191</v>
      </c>
      <c r="S56" s="163" t="s">
        <v>365</v>
      </c>
    </row>
    <row r="57" spans="16:19">
      <c r="P57" s="143" t="s">
        <v>66</v>
      </c>
      <c r="Q57" s="162" t="s">
        <v>404</v>
      </c>
      <c r="R57" s="162" t="s">
        <v>195</v>
      </c>
      <c r="S57" s="163" t="s">
        <v>365</v>
      </c>
    </row>
    <row r="58" spans="16:19">
      <c r="P58" s="143" t="s">
        <v>66</v>
      </c>
      <c r="Q58" s="162" t="s">
        <v>404</v>
      </c>
      <c r="R58" s="162" t="s">
        <v>197</v>
      </c>
      <c r="S58" s="163" t="s">
        <v>365</v>
      </c>
    </row>
    <row r="59" spans="16:19">
      <c r="P59" s="143" t="s">
        <v>66</v>
      </c>
      <c r="Q59" s="162" t="s">
        <v>404</v>
      </c>
      <c r="R59" s="162" t="s">
        <v>199</v>
      </c>
      <c r="S59" s="163" t="s">
        <v>365</v>
      </c>
    </row>
    <row r="60" spans="16:19">
      <c r="P60" s="143" t="s">
        <v>66</v>
      </c>
      <c r="Q60" s="162" t="s">
        <v>404</v>
      </c>
      <c r="R60" s="162" t="s">
        <v>201</v>
      </c>
      <c r="S60" s="163" t="s">
        <v>365</v>
      </c>
    </row>
    <row r="61" spans="16:19">
      <c r="P61" s="143" t="s">
        <v>66</v>
      </c>
      <c r="Q61" s="162" t="s">
        <v>404</v>
      </c>
      <c r="R61" s="162" t="s">
        <v>203</v>
      </c>
      <c r="S61" s="163" t="s">
        <v>365</v>
      </c>
    </row>
    <row r="62" spans="16:19">
      <c r="P62" s="143" t="s">
        <v>66</v>
      </c>
      <c r="Q62" s="162" t="s">
        <v>404</v>
      </c>
      <c r="R62" s="162" t="s">
        <v>205</v>
      </c>
      <c r="S62" s="163" t="s">
        <v>365</v>
      </c>
    </row>
    <row r="63" spans="16:19">
      <c r="P63" s="143" t="s">
        <v>66</v>
      </c>
      <c r="Q63" s="162" t="s">
        <v>404</v>
      </c>
      <c r="R63" s="162" t="s">
        <v>207</v>
      </c>
      <c r="S63" s="163" t="s">
        <v>365</v>
      </c>
    </row>
    <row r="64" spans="16:19">
      <c r="P64" s="143" t="s">
        <v>66</v>
      </c>
      <c r="Q64" s="162" t="s">
        <v>404</v>
      </c>
      <c r="R64" s="162" t="s">
        <v>209</v>
      </c>
      <c r="S64" s="163" t="s">
        <v>365</v>
      </c>
    </row>
    <row r="65" spans="16:19">
      <c r="P65" s="143" t="s">
        <v>66</v>
      </c>
      <c r="Q65" s="162" t="s">
        <v>404</v>
      </c>
      <c r="R65" s="162" t="s">
        <v>211</v>
      </c>
      <c r="S65" s="163" t="s">
        <v>365</v>
      </c>
    </row>
    <row r="66" spans="16:19">
      <c r="P66" s="143" t="s">
        <v>66</v>
      </c>
      <c r="Q66" s="162" t="s">
        <v>404</v>
      </c>
      <c r="R66" s="162" t="s">
        <v>213</v>
      </c>
      <c r="S66" s="163" t="s">
        <v>365</v>
      </c>
    </row>
    <row r="67" spans="16:19">
      <c r="P67" s="143" t="s">
        <v>66</v>
      </c>
      <c r="Q67" s="162" t="s">
        <v>404</v>
      </c>
      <c r="R67" s="162" t="s">
        <v>215</v>
      </c>
      <c r="S67" s="163" t="s">
        <v>365</v>
      </c>
    </row>
    <row r="68" spans="16:19">
      <c r="P68" s="143" t="s">
        <v>66</v>
      </c>
      <c r="Q68" s="162" t="s">
        <v>404</v>
      </c>
      <c r="R68" s="162" t="s">
        <v>217</v>
      </c>
      <c r="S68" s="163" t="s">
        <v>365</v>
      </c>
    </row>
  </sheetData>
  <dataValidations count="1">
    <dataValidation type="list" allowBlank="1" showInputMessage="1" showErrorMessage="1" sqref="B21">
      <formula1>$B$3:$B$35</formula1>
    </dataValidation>
  </dataValidations>
  <pageMargins left="0.7" right="0.7" top="0.75" bottom="0.75" header="0.3" footer="0.3"/>
  <pageSetup paperSize="9" orientation="portrait" verticalDpi="20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autoPageBreaks="0"/>
  </sheetPr>
  <dimension ref="B2:AA68"/>
  <sheetViews>
    <sheetView showGridLines="0" topLeftCell="O1" zoomScale="110" zoomScaleNormal="110" workbookViewId="0">
      <selection activeCell="U3" sqref="U3:U16"/>
    </sheetView>
  </sheetViews>
  <sheetFormatPr defaultColWidth="8.85546875" defaultRowHeight="14.25"/>
  <cols>
    <col min="1" max="1" width="1.42578125" style="34" customWidth="1"/>
    <col min="2" max="2" width="30.42578125" style="34" customWidth="1"/>
    <col min="3" max="3" width="30.42578125" style="141" customWidth="1"/>
    <col min="4" max="4" width="12.7109375" style="170" bestFit="1" customWidth="1"/>
    <col min="5" max="5" width="16" style="158" bestFit="1" customWidth="1"/>
    <col min="6" max="6" width="2.85546875" style="158" customWidth="1"/>
    <col min="7" max="7" width="25.85546875" style="34" customWidth="1"/>
    <col min="8" max="8" width="25.85546875" style="155" customWidth="1"/>
    <col min="9" max="9" width="5.140625" style="34" customWidth="1"/>
    <col min="10" max="10" width="16" style="34" customWidth="1"/>
    <col min="11" max="11" width="20.42578125" style="34" customWidth="1"/>
    <col min="12" max="12" width="4.140625" style="34" customWidth="1"/>
    <col min="13" max="13" width="16" style="34" customWidth="1"/>
    <col min="14" max="14" width="19.140625" style="34" customWidth="1"/>
    <col min="15" max="15" width="8.85546875" style="34"/>
    <col min="16" max="16" width="41.140625" style="34" customWidth="1"/>
    <col min="17" max="17" width="40.5703125" style="34" bestFit="1" customWidth="1"/>
    <col min="18" max="18" width="46" style="34" customWidth="1"/>
    <col min="19" max="19" width="16.42578125" style="34" customWidth="1"/>
    <col min="20" max="20" width="8.85546875" style="34"/>
    <col min="21" max="21" width="35" style="34" customWidth="1"/>
    <col min="22" max="22" width="31.140625" style="34" customWidth="1"/>
    <col min="23" max="23" width="30.28515625" style="34" customWidth="1"/>
    <col min="24" max="24" width="23.7109375" style="34" customWidth="1"/>
    <col min="25" max="25" width="45.42578125" style="34" customWidth="1"/>
    <col min="26" max="26" width="35.7109375" style="34" customWidth="1"/>
    <col min="27" max="27" width="27.85546875" style="34" customWidth="1"/>
    <col min="28" max="16384" width="8.85546875" style="34"/>
  </cols>
  <sheetData>
    <row r="2" spans="2:27" ht="30">
      <c r="B2" s="133" t="s">
        <v>14</v>
      </c>
      <c r="C2" s="133" t="s">
        <v>339</v>
      </c>
      <c r="D2" s="133" t="s">
        <v>13</v>
      </c>
      <c r="E2" s="47" t="s">
        <v>418</v>
      </c>
      <c r="F2" s="134"/>
      <c r="G2" s="47" t="s">
        <v>341</v>
      </c>
      <c r="H2" s="48" t="s">
        <v>340</v>
      </c>
      <c r="J2" s="48" t="s">
        <v>342</v>
      </c>
      <c r="K2" s="48" t="s">
        <v>343</v>
      </c>
      <c r="M2" s="48" t="s">
        <v>344</v>
      </c>
      <c r="N2" s="48" t="s">
        <v>323</v>
      </c>
      <c r="P2" s="135" t="s">
        <v>75</v>
      </c>
      <c r="Q2" s="135" t="s">
        <v>77</v>
      </c>
      <c r="R2" s="135" t="s">
        <v>345</v>
      </c>
      <c r="S2" s="47" t="s">
        <v>340</v>
      </c>
    </row>
    <row r="3" spans="2:27" ht="24">
      <c r="B3" s="23" t="s">
        <v>346</v>
      </c>
      <c r="C3" s="136"/>
      <c r="D3" s="136"/>
      <c r="E3" s="137" t="s">
        <v>347</v>
      </c>
      <c r="F3" s="134"/>
      <c r="G3" s="138" t="s">
        <v>419</v>
      </c>
      <c r="H3" s="139" t="s">
        <v>349</v>
      </c>
      <c r="J3" s="140" t="s">
        <v>350</v>
      </c>
      <c r="K3" s="140" t="s">
        <v>350</v>
      </c>
      <c r="L3" s="141"/>
      <c r="M3" s="142">
        <v>4</v>
      </c>
      <c r="N3" s="140">
        <v>0.1</v>
      </c>
      <c r="P3" s="143" t="s">
        <v>351</v>
      </c>
      <c r="Q3" s="144" t="s">
        <v>102</v>
      </c>
      <c r="R3" s="145" t="s">
        <v>350</v>
      </c>
      <c r="S3" s="146" t="s">
        <v>349</v>
      </c>
      <c r="U3" s="144" t="s">
        <v>102</v>
      </c>
      <c r="V3" s="162" t="s">
        <v>131</v>
      </c>
      <c r="W3" s="162" t="s">
        <v>144</v>
      </c>
      <c r="X3" s="162" t="s">
        <v>154</v>
      </c>
      <c r="Y3" s="180" t="s">
        <v>164</v>
      </c>
      <c r="AA3" s="181" t="s">
        <v>220</v>
      </c>
    </row>
    <row r="4" spans="2:27">
      <c r="B4" s="23" t="s">
        <v>352</v>
      </c>
      <c r="C4" s="28"/>
      <c r="D4" s="136"/>
      <c r="E4" s="137" t="s">
        <v>353</v>
      </c>
      <c r="F4" s="141"/>
      <c r="G4" s="138" t="s">
        <v>420</v>
      </c>
      <c r="H4" s="139" t="s">
        <v>355</v>
      </c>
      <c r="J4" s="140">
        <v>2</v>
      </c>
      <c r="K4" s="140">
        <v>2</v>
      </c>
      <c r="M4" s="147">
        <v>3</v>
      </c>
      <c r="N4" s="140">
        <v>0.25</v>
      </c>
      <c r="P4" s="143" t="s">
        <v>351</v>
      </c>
      <c r="Q4" s="144" t="s">
        <v>104</v>
      </c>
      <c r="R4" s="145" t="s">
        <v>350</v>
      </c>
      <c r="S4" s="146" t="s">
        <v>349</v>
      </c>
      <c r="U4" s="144" t="s">
        <v>104</v>
      </c>
      <c r="V4" s="162" t="s">
        <v>388</v>
      </c>
      <c r="W4" s="169" t="s">
        <v>146</v>
      </c>
      <c r="X4" s="162" t="s">
        <v>156</v>
      </c>
      <c r="Y4" s="144" t="s">
        <v>68</v>
      </c>
      <c r="AA4" s="180" t="s">
        <v>222</v>
      </c>
    </row>
    <row r="5" spans="2:27" ht="25.5">
      <c r="B5" s="23" t="s">
        <v>356</v>
      </c>
      <c r="C5" s="136"/>
      <c r="D5" s="136"/>
      <c r="E5" s="137" t="s">
        <v>357</v>
      </c>
      <c r="F5" s="141"/>
      <c r="G5" s="138" t="s">
        <v>421</v>
      </c>
      <c r="H5" s="139" t="s">
        <v>358</v>
      </c>
      <c r="J5" s="148">
        <v>3</v>
      </c>
      <c r="K5" s="148">
        <v>3</v>
      </c>
      <c r="M5" s="149">
        <v>2</v>
      </c>
      <c r="N5" s="148">
        <v>0.5</v>
      </c>
      <c r="P5" s="143" t="s">
        <v>351</v>
      </c>
      <c r="Q5" s="144" t="s">
        <v>106</v>
      </c>
      <c r="R5" s="145" t="s">
        <v>350</v>
      </c>
      <c r="S5" s="146" t="s">
        <v>349</v>
      </c>
      <c r="U5" s="144" t="s">
        <v>106</v>
      </c>
      <c r="V5" s="162" t="s">
        <v>135</v>
      </c>
      <c r="W5" s="162" t="s">
        <v>148</v>
      </c>
      <c r="X5" s="162" t="s">
        <v>158</v>
      </c>
      <c r="Y5" s="144" t="s">
        <v>168</v>
      </c>
      <c r="AA5" s="180" t="s">
        <v>63</v>
      </c>
    </row>
    <row r="6" spans="2:27" ht="24">
      <c r="B6" s="23" t="s">
        <v>359</v>
      </c>
      <c r="C6" s="136"/>
      <c r="D6" s="136"/>
      <c r="E6" s="137" t="s">
        <v>360</v>
      </c>
      <c r="F6" s="141"/>
      <c r="G6" s="138" t="s">
        <v>422</v>
      </c>
      <c r="H6" s="139" t="s">
        <v>362</v>
      </c>
      <c r="J6" s="150">
        <v>5</v>
      </c>
      <c r="K6" s="150">
        <v>4</v>
      </c>
      <c r="M6" s="151">
        <v>1</v>
      </c>
      <c r="N6" s="150">
        <v>0.75</v>
      </c>
      <c r="P6" s="143" t="s">
        <v>351</v>
      </c>
      <c r="Q6" s="144" t="s">
        <v>108</v>
      </c>
      <c r="R6" s="145" t="s">
        <v>350</v>
      </c>
      <c r="S6" s="146" t="s">
        <v>349</v>
      </c>
      <c r="U6" s="144" t="s">
        <v>108</v>
      </c>
      <c r="V6" s="162" t="s">
        <v>137</v>
      </c>
      <c r="W6" s="172" t="s">
        <v>65</v>
      </c>
      <c r="X6" s="162" t="s">
        <v>160</v>
      </c>
      <c r="Y6" s="144" t="s">
        <v>170</v>
      </c>
      <c r="AA6" s="180" t="s">
        <v>225</v>
      </c>
    </row>
    <row r="7" spans="2:27">
      <c r="B7" s="23" t="s">
        <v>363</v>
      </c>
      <c r="C7" s="136"/>
      <c r="D7" s="136"/>
      <c r="E7" s="137" t="s">
        <v>364</v>
      </c>
      <c r="F7" s="141"/>
      <c r="G7" s="138" t="s">
        <v>424</v>
      </c>
      <c r="H7" s="139" t="s">
        <v>365</v>
      </c>
      <c r="J7" s="150">
        <v>7</v>
      </c>
      <c r="K7" s="150">
        <v>5</v>
      </c>
      <c r="M7" s="152">
        <v>0</v>
      </c>
      <c r="N7" s="150">
        <v>1</v>
      </c>
      <c r="P7" s="143" t="s">
        <v>351</v>
      </c>
      <c r="Q7" s="144" t="s">
        <v>110</v>
      </c>
      <c r="R7" s="145" t="s">
        <v>350</v>
      </c>
      <c r="S7" s="146" t="s">
        <v>349</v>
      </c>
      <c r="U7" s="144" t="s">
        <v>110</v>
      </c>
      <c r="V7" s="162" t="s">
        <v>139</v>
      </c>
      <c r="W7" s="169" t="s">
        <v>151</v>
      </c>
      <c r="X7" s="162" t="s">
        <v>162</v>
      </c>
      <c r="Y7" s="144" t="s">
        <v>172</v>
      </c>
      <c r="AA7" s="180" t="s">
        <v>227</v>
      </c>
    </row>
    <row r="8" spans="2:27" ht="24">
      <c r="B8" s="23" t="s">
        <v>366</v>
      </c>
      <c r="C8" s="136"/>
      <c r="D8" s="136"/>
      <c r="E8" s="137" t="s">
        <v>367</v>
      </c>
      <c r="F8" s="141"/>
      <c r="G8" s="153" t="s">
        <v>423</v>
      </c>
      <c r="H8" s="154" t="s">
        <v>368</v>
      </c>
      <c r="J8" s="150">
        <v>10</v>
      </c>
      <c r="K8" s="150">
        <v>6</v>
      </c>
      <c r="P8" s="143" t="s">
        <v>351</v>
      </c>
      <c r="Q8" s="144" t="s">
        <v>112</v>
      </c>
      <c r="R8" s="145" t="s">
        <v>350</v>
      </c>
      <c r="S8" s="146" t="s">
        <v>349</v>
      </c>
      <c r="U8" s="144" t="s">
        <v>112</v>
      </c>
      <c r="V8" s="180" t="s">
        <v>141</v>
      </c>
      <c r="X8" s="162" t="s">
        <v>164</v>
      </c>
      <c r="Y8" s="144" t="s">
        <v>174</v>
      </c>
      <c r="AA8" s="180" t="s">
        <v>67</v>
      </c>
    </row>
    <row r="9" spans="2:27" ht="25.5">
      <c r="B9" s="136" t="s">
        <v>369</v>
      </c>
      <c r="C9" s="136"/>
      <c r="D9" s="136"/>
      <c r="E9" s="137" t="s">
        <v>370</v>
      </c>
      <c r="F9" s="141"/>
      <c r="P9" s="143" t="s">
        <v>351</v>
      </c>
      <c r="Q9" s="144" t="s">
        <v>114</v>
      </c>
      <c r="R9" s="145" t="s">
        <v>350</v>
      </c>
      <c r="S9" s="146" t="s">
        <v>349</v>
      </c>
      <c r="U9" s="144" t="s">
        <v>114</v>
      </c>
      <c r="Y9" s="144" t="s">
        <v>176</v>
      </c>
    </row>
    <row r="10" spans="2:27" ht="15">
      <c r="B10" s="136" t="s">
        <v>61</v>
      </c>
      <c r="C10" s="136"/>
      <c r="D10" s="136"/>
      <c r="E10" s="137" t="s">
        <v>371</v>
      </c>
      <c r="F10" s="141"/>
      <c r="J10" s="156"/>
      <c r="K10" s="156"/>
      <c r="M10" s="156"/>
      <c r="N10" s="156"/>
      <c r="P10" s="143" t="s">
        <v>351</v>
      </c>
      <c r="Q10" s="144" t="s">
        <v>116</v>
      </c>
      <c r="R10" s="145" t="s">
        <v>350</v>
      </c>
      <c r="S10" s="146" t="s">
        <v>349</v>
      </c>
      <c r="U10" s="144" t="s">
        <v>116</v>
      </c>
      <c r="Y10" s="144" t="s">
        <v>178</v>
      </c>
    </row>
    <row r="11" spans="2:27">
      <c r="B11" s="136" t="s">
        <v>372</v>
      </c>
      <c r="C11" s="136"/>
      <c r="D11" s="136"/>
      <c r="E11" s="137" t="s">
        <v>373</v>
      </c>
      <c r="F11" s="141"/>
      <c r="J11" s="157"/>
      <c r="K11" s="141"/>
      <c r="L11" s="141"/>
      <c r="M11" s="157"/>
      <c r="N11" s="141"/>
      <c r="P11" s="143" t="s">
        <v>351</v>
      </c>
      <c r="Q11" s="144" t="s">
        <v>118</v>
      </c>
      <c r="R11" s="145" t="s">
        <v>350</v>
      </c>
      <c r="S11" s="146" t="s">
        <v>349</v>
      </c>
      <c r="U11" s="144" t="s">
        <v>118</v>
      </c>
      <c r="Y11" s="144" t="s">
        <v>180</v>
      </c>
    </row>
    <row r="12" spans="2:27">
      <c r="B12" s="136" t="s">
        <v>374</v>
      </c>
      <c r="C12" s="136"/>
      <c r="D12" s="136"/>
      <c r="E12" s="137" t="s">
        <v>375</v>
      </c>
      <c r="F12" s="141"/>
      <c r="J12" s="141"/>
      <c r="K12" s="141"/>
      <c r="M12" s="157"/>
      <c r="N12" s="141"/>
      <c r="P12" s="143" t="s">
        <v>351</v>
      </c>
      <c r="Q12" s="144" t="s">
        <v>120</v>
      </c>
      <c r="R12" s="145" t="s">
        <v>350</v>
      </c>
      <c r="S12" s="146" t="s">
        <v>349</v>
      </c>
      <c r="U12" s="144" t="s">
        <v>120</v>
      </c>
      <c r="Y12" s="144" t="s">
        <v>182</v>
      </c>
    </row>
    <row r="13" spans="2:27" ht="25.5">
      <c r="B13" s="136" t="s">
        <v>376</v>
      </c>
      <c r="C13" s="136"/>
      <c r="D13" s="136"/>
      <c r="E13" s="137" t="s">
        <v>377</v>
      </c>
      <c r="F13" s="141"/>
      <c r="J13" s="141"/>
      <c r="K13" s="141"/>
      <c r="M13" s="141"/>
      <c r="N13" s="141"/>
      <c r="P13" s="143" t="s">
        <v>351</v>
      </c>
      <c r="Q13" s="144" t="s">
        <v>122</v>
      </c>
      <c r="R13" s="145" t="s">
        <v>350</v>
      </c>
      <c r="S13" s="146" t="s">
        <v>349</v>
      </c>
      <c r="U13" s="144" t="s">
        <v>122</v>
      </c>
      <c r="Y13" s="144" t="s">
        <v>184</v>
      </c>
    </row>
    <row r="14" spans="2:27">
      <c r="B14" s="136" t="s">
        <v>378</v>
      </c>
      <c r="C14" s="136"/>
      <c r="D14" s="136"/>
      <c r="E14" s="137" t="s">
        <v>379</v>
      </c>
      <c r="F14" s="141"/>
      <c r="J14" s="141"/>
      <c r="K14" s="141"/>
      <c r="M14" s="141"/>
      <c r="N14" s="141"/>
      <c r="P14" s="143" t="s">
        <v>351</v>
      </c>
      <c r="Q14" s="144" t="s">
        <v>124</v>
      </c>
      <c r="R14" s="145" t="s">
        <v>350</v>
      </c>
      <c r="S14" s="146" t="s">
        <v>349</v>
      </c>
      <c r="U14" s="144" t="s">
        <v>124</v>
      </c>
      <c r="Y14" s="223" t="s">
        <v>69</v>
      </c>
      <c r="Z14" s="180" t="s">
        <v>187</v>
      </c>
    </row>
    <row r="15" spans="2:27">
      <c r="B15" s="27" t="s">
        <v>380</v>
      </c>
      <c r="C15" s="136"/>
      <c r="D15" s="136"/>
      <c r="E15" s="137" t="s">
        <v>381</v>
      </c>
      <c r="F15" s="141"/>
      <c r="J15" s="141"/>
      <c r="K15" s="141"/>
      <c r="M15" s="141"/>
      <c r="N15" s="141"/>
      <c r="P15" s="143" t="s">
        <v>351</v>
      </c>
      <c r="Q15" s="144" t="s">
        <v>126</v>
      </c>
      <c r="R15" s="145" t="s">
        <v>350</v>
      </c>
      <c r="S15" s="146" t="s">
        <v>349</v>
      </c>
      <c r="U15" s="144" t="s">
        <v>126</v>
      </c>
      <c r="Y15" s="223"/>
      <c r="Z15" s="180" t="s">
        <v>189</v>
      </c>
    </row>
    <row r="16" spans="2:27" ht="25.5">
      <c r="B16" s="136" t="s">
        <v>382</v>
      </c>
      <c r="C16" s="136"/>
      <c r="D16" s="136"/>
      <c r="E16" s="137" t="s">
        <v>383</v>
      </c>
      <c r="G16" s="159"/>
      <c r="H16" s="160"/>
      <c r="J16" s="141"/>
      <c r="K16" s="141"/>
      <c r="M16" s="141"/>
      <c r="N16" s="141"/>
      <c r="P16" s="143" t="s">
        <v>351</v>
      </c>
      <c r="Q16" s="144" t="s">
        <v>128</v>
      </c>
      <c r="R16" s="145" t="s">
        <v>350</v>
      </c>
      <c r="S16" s="146" t="s">
        <v>349</v>
      </c>
      <c r="U16" s="144" t="s">
        <v>128</v>
      </c>
      <c r="Y16" s="223"/>
      <c r="Z16" s="180" t="s">
        <v>191</v>
      </c>
    </row>
    <row r="17" spans="2:26" ht="15">
      <c r="B17" s="23" t="s">
        <v>384</v>
      </c>
      <c r="C17" s="136"/>
      <c r="D17" s="136"/>
      <c r="E17" s="137" t="s">
        <v>385</v>
      </c>
      <c r="F17" s="134"/>
      <c r="G17" s="161"/>
      <c r="H17" s="3"/>
      <c r="I17" s="134"/>
      <c r="M17" s="141"/>
      <c r="N17" s="141"/>
      <c r="P17" s="143" t="s">
        <v>354</v>
      </c>
      <c r="Q17" s="162" t="s">
        <v>131</v>
      </c>
      <c r="R17" s="145" t="s">
        <v>350</v>
      </c>
      <c r="S17" s="163" t="s">
        <v>355</v>
      </c>
      <c r="Y17" s="223" t="s">
        <v>404</v>
      </c>
      <c r="Z17" s="180" t="s">
        <v>195</v>
      </c>
    </row>
    <row r="18" spans="2:26" ht="25.5">
      <c r="B18" s="23" t="s">
        <v>386</v>
      </c>
      <c r="C18" s="136"/>
      <c r="D18" s="136"/>
      <c r="E18" s="137" t="s">
        <v>387</v>
      </c>
      <c r="F18" s="134"/>
      <c r="G18" s="161"/>
      <c r="H18" s="3"/>
      <c r="I18" s="134"/>
      <c r="J18" s="141"/>
      <c r="K18" s="141"/>
      <c r="M18" s="141"/>
      <c r="N18" s="141"/>
      <c r="P18" s="143" t="s">
        <v>354</v>
      </c>
      <c r="Q18" s="162" t="s">
        <v>388</v>
      </c>
      <c r="R18" s="145" t="s">
        <v>350</v>
      </c>
      <c r="S18" s="163" t="s">
        <v>355</v>
      </c>
      <c r="Y18" s="223"/>
      <c r="Z18" s="180" t="s">
        <v>197</v>
      </c>
    </row>
    <row r="19" spans="2:26">
      <c r="B19" s="23" t="s">
        <v>389</v>
      </c>
      <c r="C19" s="136"/>
      <c r="D19" s="136"/>
      <c r="E19" s="137" t="s">
        <v>390</v>
      </c>
      <c r="F19" s="164"/>
      <c r="G19" s="165"/>
      <c r="H19" s="166"/>
      <c r="I19" s="167"/>
      <c r="J19" s="141"/>
      <c r="K19" s="141"/>
      <c r="M19" s="141"/>
      <c r="N19" s="141"/>
      <c r="P19" s="143" t="s">
        <v>354</v>
      </c>
      <c r="Q19" s="162" t="s">
        <v>135</v>
      </c>
      <c r="R19" s="145" t="s">
        <v>350</v>
      </c>
      <c r="S19" s="163" t="s">
        <v>355</v>
      </c>
      <c r="Y19" s="223"/>
      <c r="Z19" s="180" t="s">
        <v>199</v>
      </c>
    </row>
    <row r="20" spans="2:26">
      <c r="B20" s="136" t="s">
        <v>391</v>
      </c>
      <c r="C20" s="136"/>
      <c r="D20" s="136"/>
      <c r="E20" s="137" t="s">
        <v>392</v>
      </c>
      <c r="F20" s="164"/>
      <c r="G20" s="161"/>
      <c r="H20" s="3"/>
      <c r="I20" s="168"/>
      <c r="J20" s="141"/>
      <c r="K20" s="141"/>
      <c r="M20" s="141"/>
      <c r="N20" s="141"/>
      <c r="P20" s="143" t="s">
        <v>354</v>
      </c>
      <c r="Q20" s="162" t="s">
        <v>137</v>
      </c>
      <c r="R20" s="145" t="s">
        <v>350</v>
      </c>
      <c r="S20" s="163" t="s">
        <v>355</v>
      </c>
      <c r="Y20" s="223"/>
      <c r="Z20" s="180" t="s">
        <v>201</v>
      </c>
    </row>
    <row r="21" spans="2:26">
      <c r="B21" s="136" t="s">
        <v>393</v>
      </c>
      <c r="C21" s="136"/>
      <c r="D21" s="136"/>
      <c r="E21" s="137" t="s">
        <v>394</v>
      </c>
      <c r="F21" s="164"/>
      <c r="G21" s="161"/>
      <c r="I21" s="168"/>
      <c r="J21" s="141"/>
      <c r="K21" s="141"/>
      <c r="M21" s="141"/>
      <c r="N21" s="141"/>
      <c r="P21" s="143" t="s">
        <v>354</v>
      </c>
      <c r="Q21" s="162" t="s">
        <v>139</v>
      </c>
      <c r="R21" s="145" t="s">
        <v>350</v>
      </c>
      <c r="S21" s="163" t="s">
        <v>355</v>
      </c>
      <c r="Y21" s="223"/>
      <c r="Z21" s="180" t="s">
        <v>203</v>
      </c>
    </row>
    <row r="22" spans="2:26">
      <c r="B22" s="136" t="s">
        <v>395</v>
      </c>
      <c r="C22" s="136"/>
      <c r="D22" s="136"/>
      <c r="E22" s="137" t="s">
        <v>396</v>
      </c>
      <c r="F22" s="164"/>
      <c r="G22" s="161"/>
      <c r="I22" s="168"/>
      <c r="J22" s="141"/>
      <c r="K22" s="141"/>
      <c r="P22" s="143" t="s">
        <v>354</v>
      </c>
      <c r="Q22" s="162" t="s">
        <v>141</v>
      </c>
      <c r="R22" s="145" t="s">
        <v>350</v>
      </c>
      <c r="S22" s="163" t="s">
        <v>355</v>
      </c>
      <c r="Y22" s="223"/>
      <c r="Z22" s="180" t="s">
        <v>205</v>
      </c>
    </row>
    <row r="23" spans="2:26">
      <c r="B23" s="136" t="s">
        <v>397</v>
      </c>
      <c r="C23" s="136"/>
      <c r="D23" s="136"/>
      <c r="E23" s="137" t="s">
        <v>398</v>
      </c>
      <c r="F23" s="164"/>
      <c r="G23" s="161"/>
      <c r="I23" s="168"/>
      <c r="M23" s="141"/>
      <c r="P23" s="143" t="s">
        <v>64</v>
      </c>
      <c r="Q23" s="162" t="s">
        <v>144</v>
      </c>
      <c r="R23" s="145" t="s">
        <v>350</v>
      </c>
      <c r="S23" s="163" t="s">
        <v>358</v>
      </c>
      <c r="Y23" s="223"/>
      <c r="Z23" s="180" t="s">
        <v>207</v>
      </c>
    </row>
    <row r="24" spans="2:26" ht="25.5">
      <c r="B24" s="136" t="s">
        <v>399</v>
      </c>
      <c r="C24" s="136"/>
      <c r="D24" s="136"/>
      <c r="E24" s="137" t="s">
        <v>400</v>
      </c>
      <c r="F24" s="164"/>
      <c r="G24" s="161"/>
      <c r="I24" s="168"/>
      <c r="P24" s="143" t="s">
        <v>64</v>
      </c>
      <c r="Q24" s="169" t="s">
        <v>146</v>
      </c>
      <c r="R24" s="145" t="s">
        <v>350</v>
      </c>
      <c r="S24" s="163" t="s">
        <v>358</v>
      </c>
      <c r="Y24" s="223"/>
      <c r="Z24" s="180" t="s">
        <v>209</v>
      </c>
    </row>
    <row r="25" spans="2:26" ht="25.5">
      <c r="B25" s="177" t="s">
        <v>401</v>
      </c>
      <c r="C25" s="136"/>
      <c r="D25" s="136"/>
      <c r="E25" s="137" t="s">
        <v>402</v>
      </c>
      <c r="F25" s="164"/>
      <c r="G25" s="165"/>
      <c r="I25" s="168"/>
      <c r="P25" s="143" t="s">
        <v>64</v>
      </c>
      <c r="Q25" s="162" t="s">
        <v>148</v>
      </c>
      <c r="R25" s="145" t="s">
        <v>350</v>
      </c>
      <c r="S25" s="163" t="s">
        <v>358</v>
      </c>
      <c r="Y25" s="223"/>
      <c r="Z25" s="180" t="s">
        <v>211</v>
      </c>
    </row>
    <row r="26" spans="2:26" ht="15">
      <c r="C26" s="150"/>
      <c r="D26" s="178"/>
      <c r="E26" s="179" t="s">
        <v>416</v>
      </c>
      <c r="F26" s="164"/>
      <c r="G26" s="161"/>
      <c r="I26" s="168"/>
      <c r="P26" s="171" t="s">
        <v>64</v>
      </c>
      <c r="Q26" s="172" t="s">
        <v>65</v>
      </c>
      <c r="R26" s="145" t="s">
        <v>350</v>
      </c>
      <c r="S26" s="172" t="s">
        <v>358</v>
      </c>
      <c r="Y26" s="223"/>
      <c r="Z26" s="180" t="s">
        <v>213</v>
      </c>
    </row>
    <row r="27" spans="2:26">
      <c r="F27" s="173"/>
      <c r="G27" s="161"/>
      <c r="I27" s="168"/>
      <c r="P27" s="143" t="s">
        <v>64</v>
      </c>
      <c r="Q27" s="169" t="s">
        <v>151</v>
      </c>
      <c r="R27" s="145" t="s">
        <v>350</v>
      </c>
      <c r="S27" s="163" t="s">
        <v>358</v>
      </c>
      <c r="Y27" s="223"/>
      <c r="Z27" s="180" t="s">
        <v>215</v>
      </c>
    </row>
    <row r="28" spans="2:26">
      <c r="F28" s="164"/>
      <c r="G28" s="161"/>
      <c r="I28" s="168"/>
      <c r="P28" s="143" t="s">
        <v>361</v>
      </c>
      <c r="Q28" s="162" t="s">
        <v>154</v>
      </c>
      <c r="R28" s="145" t="s">
        <v>350</v>
      </c>
      <c r="S28" s="163" t="s">
        <v>362</v>
      </c>
      <c r="Y28" s="223"/>
      <c r="Z28" s="180" t="s">
        <v>217</v>
      </c>
    </row>
    <row r="29" spans="2:26">
      <c r="F29" s="164"/>
      <c r="G29" s="161"/>
      <c r="I29" s="168"/>
      <c r="P29" s="143" t="s">
        <v>361</v>
      </c>
      <c r="Q29" s="162" t="s">
        <v>156</v>
      </c>
      <c r="R29" s="145" t="s">
        <v>350</v>
      </c>
      <c r="S29" s="163" t="s">
        <v>362</v>
      </c>
    </row>
    <row r="30" spans="2:26">
      <c r="F30" s="164"/>
      <c r="G30" s="161"/>
      <c r="I30" s="168"/>
      <c r="P30" s="143" t="s">
        <v>361</v>
      </c>
      <c r="Q30" s="162" t="s">
        <v>158</v>
      </c>
      <c r="R30" s="145" t="s">
        <v>350</v>
      </c>
      <c r="S30" s="163" t="s">
        <v>362</v>
      </c>
    </row>
    <row r="31" spans="2:26">
      <c r="F31" s="164"/>
      <c r="G31" s="161"/>
      <c r="I31" s="168"/>
      <c r="P31" s="143" t="s">
        <v>361</v>
      </c>
      <c r="Q31" s="162" t="s">
        <v>160</v>
      </c>
      <c r="R31" s="145" t="s">
        <v>350</v>
      </c>
      <c r="S31" s="163" t="s">
        <v>362</v>
      </c>
    </row>
    <row r="32" spans="2:26">
      <c r="F32" s="164"/>
      <c r="G32" s="161"/>
      <c r="H32" s="174"/>
      <c r="I32" s="175"/>
      <c r="J32" s="168"/>
      <c r="P32" s="143" t="s">
        <v>361</v>
      </c>
      <c r="Q32" s="162" t="s">
        <v>162</v>
      </c>
      <c r="R32" s="145" t="s">
        <v>350</v>
      </c>
      <c r="S32" s="163" t="s">
        <v>362</v>
      </c>
    </row>
    <row r="33" spans="6:19">
      <c r="F33" s="164"/>
      <c r="G33" s="161"/>
      <c r="H33" s="3"/>
      <c r="I33" s="175"/>
      <c r="J33" s="168"/>
      <c r="P33" s="143" t="s">
        <v>361</v>
      </c>
      <c r="Q33" s="162" t="s">
        <v>164</v>
      </c>
      <c r="R33" s="145" t="s">
        <v>350</v>
      </c>
      <c r="S33" s="163" t="s">
        <v>362</v>
      </c>
    </row>
    <row r="34" spans="6:19">
      <c r="F34" s="164"/>
      <c r="G34" s="161"/>
      <c r="H34" s="3"/>
      <c r="I34" s="175"/>
      <c r="J34" s="168"/>
      <c r="P34" s="143" t="s">
        <v>66</v>
      </c>
      <c r="Q34" s="144" t="s">
        <v>68</v>
      </c>
      <c r="R34" s="145" t="s">
        <v>350</v>
      </c>
      <c r="S34" s="163" t="s">
        <v>365</v>
      </c>
    </row>
    <row r="35" spans="6:19">
      <c r="F35" s="173"/>
      <c r="G35" s="161"/>
      <c r="H35" s="3"/>
      <c r="I35" s="175"/>
      <c r="J35" s="168"/>
      <c r="K35" s="168"/>
      <c r="P35" s="143" t="s">
        <v>66</v>
      </c>
      <c r="Q35" s="144" t="s">
        <v>168</v>
      </c>
      <c r="R35" s="145" t="s">
        <v>350</v>
      </c>
      <c r="S35" s="163" t="s">
        <v>365</v>
      </c>
    </row>
    <row r="36" spans="6:19">
      <c r="F36" s="164"/>
      <c r="G36" s="161"/>
      <c r="H36" s="3"/>
      <c r="I36" s="175"/>
      <c r="J36" s="168"/>
      <c r="K36" s="168"/>
      <c r="P36" s="143" t="s">
        <v>66</v>
      </c>
      <c r="Q36" s="144" t="s">
        <v>170</v>
      </c>
      <c r="R36" s="145" t="s">
        <v>350</v>
      </c>
      <c r="S36" s="163" t="s">
        <v>365</v>
      </c>
    </row>
    <row r="37" spans="6:19">
      <c r="F37" s="164"/>
      <c r="G37" s="161"/>
      <c r="H37" s="3"/>
      <c r="I37" s="175"/>
      <c r="J37" s="168"/>
      <c r="K37" s="168"/>
      <c r="P37" s="143" t="s">
        <v>66</v>
      </c>
      <c r="Q37" s="144" t="s">
        <v>172</v>
      </c>
      <c r="R37" s="145" t="s">
        <v>350</v>
      </c>
      <c r="S37" s="163" t="s">
        <v>365</v>
      </c>
    </row>
    <row r="38" spans="6:19" ht="24">
      <c r="F38" s="164"/>
      <c r="G38" s="161"/>
      <c r="H38" s="5"/>
      <c r="I38" s="175"/>
      <c r="J38" s="168"/>
      <c r="K38" s="168"/>
      <c r="P38" s="143" t="s">
        <v>66</v>
      </c>
      <c r="Q38" s="144" t="s">
        <v>174</v>
      </c>
      <c r="R38" s="145" t="s">
        <v>350</v>
      </c>
      <c r="S38" s="163" t="s">
        <v>365</v>
      </c>
    </row>
    <row r="39" spans="6:19">
      <c r="G39" s="161"/>
      <c r="H39" s="5"/>
      <c r="K39" s="168"/>
      <c r="P39" s="143" t="s">
        <v>66</v>
      </c>
      <c r="Q39" s="144" t="s">
        <v>176</v>
      </c>
      <c r="R39" s="145" t="s">
        <v>350</v>
      </c>
      <c r="S39" s="163" t="s">
        <v>365</v>
      </c>
    </row>
    <row r="40" spans="6:19" ht="15">
      <c r="G40" s="161"/>
      <c r="H40" s="176"/>
      <c r="K40" s="168"/>
      <c r="P40" s="143" t="s">
        <v>66</v>
      </c>
      <c r="Q40" s="144" t="s">
        <v>178</v>
      </c>
      <c r="R40" s="145" t="s">
        <v>350</v>
      </c>
      <c r="S40" s="163" t="s">
        <v>365</v>
      </c>
    </row>
    <row r="41" spans="6:19">
      <c r="G41" s="161"/>
      <c r="H41" s="166"/>
      <c r="P41" s="143" t="s">
        <v>66</v>
      </c>
      <c r="Q41" s="144" t="s">
        <v>180</v>
      </c>
      <c r="R41" s="145" t="s">
        <v>350</v>
      </c>
      <c r="S41" s="163" t="s">
        <v>365</v>
      </c>
    </row>
    <row r="42" spans="6:19">
      <c r="G42" s="161"/>
      <c r="H42" s="166"/>
      <c r="P42" s="143" t="s">
        <v>66</v>
      </c>
      <c r="Q42" s="144" t="s">
        <v>182</v>
      </c>
      <c r="R42" s="145" t="s">
        <v>350</v>
      </c>
      <c r="S42" s="163" t="s">
        <v>365</v>
      </c>
    </row>
    <row r="43" spans="6:19">
      <c r="G43" s="161"/>
      <c r="H43" s="166"/>
      <c r="P43" s="143" t="s">
        <v>66</v>
      </c>
      <c r="Q43" s="144" t="s">
        <v>184</v>
      </c>
      <c r="R43" s="145" t="s">
        <v>350</v>
      </c>
      <c r="S43" s="163" t="s">
        <v>365</v>
      </c>
    </row>
    <row r="44" spans="6:19">
      <c r="G44" s="161"/>
      <c r="H44" s="3"/>
      <c r="P44" s="143" t="s">
        <v>66</v>
      </c>
      <c r="Q44" s="162" t="s">
        <v>69</v>
      </c>
      <c r="R44" s="162" t="s">
        <v>403</v>
      </c>
      <c r="S44" s="163" t="s">
        <v>365</v>
      </c>
    </row>
    <row r="45" spans="6:19">
      <c r="P45" s="143" t="s">
        <v>66</v>
      </c>
      <c r="Q45" s="162" t="s">
        <v>404</v>
      </c>
      <c r="R45" s="162" t="s">
        <v>403</v>
      </c>
      <c r="S45" s="163" t="s">
        <v>365</v>
      </c>
    </row>
    <row r="46" spans="6:19">
      <c r="P46" s="143" t="s">
        <v>62</v>
      </c>
      <c r="Q46" s="169" t="s">
        <v>220</v>
      </c>
      <c r="R46" s="145" t="s">
        <v>350</v>
      </c>
      <c r="S46" s="163" t="s">
        <v>368</v>
      </c>
    </row>
    <row r="47" spans="6:19">
      <c r="P47" s="143" t="s">
        <v>62</v>
      </c>
      <c r="Q47" s="162" t="s">
        <v>222</v>
      </c>
      <c r="R47" s="145" t="s">
        <v>350</v>
      </c>
      <c r="S47" s="163" t="s">
        <v>368</v>
      </c>
    </row>
    <row r="48" spans="6:19">
      <c r="P48" s="143" t="s">
        <v>62</v>
      </c>
      <c r="Q48" s="162" t="s">
        <v>63</v>
      </c>
      <c r="R48" s="145" t="s">
        <v>350</v>
      </c>
      <c r="S48" s="163" t="s">
        <v>368</v>
      </c>
    </row>
    <row r="49" spans="16:19">
      <c r="P49" s="143" t="s">
        <v>62</v>
      </c>
      <c r="Q49" s="162" t="s">
        <v>225</v>
      </c>
      <c r="R49" s="145" t="s">
        <v>350</v>
      </c>
      <c r="S49" s="163" t="s">
        <v>368</v>
      </c>
    </row>
    <row r="50" spans="16:19">
      <c r="P50" s="143" t="s">
        <v>62</v>
      </c>
      <c r="Q50" s="162" t="s">
        <v>227</v>
      </c>
      <c r="R50" s="145" t="s">
        <v>350</v>
      </c>
      <c r="S50" s="163" t="s">
        <v>368</v>
      </c>
    </row>
    <row r="51" spans="16:19">
      <c r="P51" s="143" t="s">
        <v>62</v>
      </c>
      <c r="Q51" s="162" t="s">
        <v>67</v>
      </c>
      <c r="R51" s="144" t="s">
        <v>350</v>
      </c>
      <c r="S51" s="163" t="s">
        <v>368</v>
      </c>
    </row>
    <row r="53" spans="16:19" ht="15">
      <c r="P53" s="135" t="s">
        <v>75</v>
      </c>
      <c r="Q53" s="135" t="s">
        <v>77</v>
      </c>
      <c r="R53" s="135" t="s">
        <v>345</v>
      </c>
      <c r="S53" s="47" t="s">
        <v>340</v>
      </c>
    </row>
    <row r="54" spans="16:19">
      <c r="P54" s="143" t="s">
        <v>66</v>
      </c>
      <c r="Q54" s="162" t="s">
        <v>69</v>
      </c>
      <c r="R54" s="162" t="s">
        <v>187</v>
      </c>
      <c r="S54" s="163" t="s">
        <v>365</v>
      </c>
    </row>
    <row r="55" spans="16:19">
      <c r="P55" s="143" t="s">
        <v>66</v>
      </c>
      <c r="Q55" s="162" t="s">
        <v>69</v>
      </c>
      <c r="R55" s="162" t="s">
        <v>189</v>
      </c>
      <c r="S55" s="163" t="s">
        <v>365</v>
      </c>
    </row>
    <row r="56" spans="16:19">
      <c r="P56" s="143" t="s">
        <v>66</v>
      </c>
      <c r="Q56" s="162" t="s">
        <v>69</v>
      </c>
      <c r="R56" s="162" t="s">
        <v>191</v>
      </c>
      <c r="S56" s="163" t="s">
        <v>365</v>
      </c>
    </row>
    <row r="57" spans="16:19">
      <c r="P57" s="143" t="s">
        <v>66</v>
      </c>
      <c r="Q57" s="162" t="s">
        <v>404</v>
      </c>
      <c r="R57" s="162" t="s">
        <v>195</v>
      </c>
      <c r="S57" s="163" t="s">
        <v>365</v>
      </c>
    </row>
    <row r="58" spans="16:19">
      <c r="P58" s="143" t="s">
        <v>66</v>
      </c>
      <c r="Q58" s="162" t="s">
        <v>404</v>
      </c>
      <c r="R58" s="162" t="s">
        <v>197</v>
      </c>
      <c r="S58" s="163" t="s">
        <v>365</v>
      </c>
    </row>
    <row r="59" spans="16:19">
      <c r="P59" s="143" t="s">
        <v>66</v>
      </c>
      <c r="Q59" s="162" t="s">
        <v>404</v>
      </c>
      <c r="R59" s="162" t="s">
        <v>199</v>
      </c>
      <c r="S59" s="163" t="s">
        <v>365</v>
      </c>
    </row>
    <row r="60" spans="16:19">
      <c r="P60" s="143" t="s">
        <v>66</v>
      </c>
      <c r="Q60" s="162" t="s">
        <v>404</v>
      </c>
      <c r="R60" s="162" t="s">
        <v>201</v>
      </c>
      <c r="S60" s="163" t="s">
        <v>365</v>
      </c>
    </row>
    <row r="61" spans="16:19">
      <c r="P61" s="143" t="s">
        <v>66</v>
      </c>
      <c r="Q61" s="162" t="s">
        <v>404</v>
      </c>
      <c r="R61" s="162" t="s">
        <v>203</v>
      </c>
      <c r="S61" s="163" t="s">
        <v>365</v>
      </c>
    </row>
    <row r="62" spans="16:19">
      <c r="P62" s="143" t="s">
        <v>66</v>
      </c>
      <c r="Q62" s="162" t="s">
        <v>404</v>
      </c>
      <c r="R62" s="162" t="s">
        <v>205</v>
      </c>
      <c r="S62" s="163" t="s">
        <v>365</v>
      </c>
    </row>
    <row r="63" spans="16:19">
      <c r="P63" s="143" t="s">
        <v>66</v>
      </c>
      <c r="Q63" s="162" t="s">
        <v>404</v>
      </c>
      <c r="R63" s="162" t="s">
        <v>207</v>
      </c>
      <c r="S63" s="163" t="s">
        <v>365</v>
      </c>
    </row>
    <row r="64" spans="16:19">
      <c r="P64" s="143" t="s">
        <v>66</v>
      </c>
      <c r="Q64" s="162" t="s">
        <v>404</v>
      </c>
      <c r="R64" s="162" t="s">
        <v>209</v>
      </c>
      <c r="S64" s="163" t="s">
        <v>365</v>
      </c>
    </row>
    <row r="65" spans="16:19">
      <c r="P65" s="143" t="s">
        <v>66</v>
      </c>
      <c r="Q65" s="162" t="s">
        <v>404</v>
      </c>
      <c r="R65" s="162" t="s">
        <v>211</v>
      </c>
      <c r="S65" s="163" t="s">
        <v>365</v>
      </c>
    </row>
    <row r="66" spans="16:19">
      <c r="P66" s="143" t="s">
        <v>66</v>
      </c>
      <c r="Q66" s="162" t="s">
        <v>404</v>
      </c>
      <c r="R66" s="162" t="s">
        <v>213</v>
      </c>
      <c r="S66" s="163" t="s">
        <v>365</v>
      </c>
    </row>
    <row r="67" spans="16:19">
      <c r="P67" s="143" t="s">
        <v>66</v>
      </c>
      <c r="Q67" s="162" t="s">
        <v>404</v>
      </c>
      <c r="R67" s="162" t="s">
        <v>215</v>
      </c>
      <c r="S67" s="163" t="s">
        <v>365</v>
      </c>
    </row>
    <row r="68" spans="16:19">
      <c r="P68" s="143" t="s">
        <v>66</v>
      </c>
      <c r="Q68" s="162" t="s">
        <v>404</v>
      </c>
      <c r="R68" s="162" t="s">
        <v>217</v>
      </c>
      <c r="S68" s="163" t="s">
        <v>365</v>
      </c>
    </row>
  </sheetData>
  <mergeCells count="2">
    <mergeCell ref="Y14:Y16"/>
    <mergeCell ref="Y17:Y28"/>
  </mergeCells>
  <dataValidations count="1">
    <dataValidation type="list" allowBlank="1" showInputMessage="1" showErrorMessage="1" sqref="B21">
      <formula1>$B$3:$B$35</formula1>
    </dataValidation>
  </dataValidations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7</vt:i4>
      </vt:variant>
      <vt:variant>
        <vt:lpstr>Intervalli denominati</vt:lpstr>
      </vt:variant>
      <vt:variant>
        <vt:i4>31</vt:i4>
      </vt:variant>
    </vt:vector>
  </HeadingPairs>
  <TitlesOfParts>
    <vt:vector size="38" baseType="lpstr">
      <vt:lpstr>Copertina</vt:lpstr>
      <vt:lpstr>Registro dei Rischi</vt:lpstr>
      <vt:lpstr>Risk Guide</vt:lpstr>
      <vt:lpstr>Risk Model</vt:lpstr>
      <vt:lpstr>Metriche di valutazione</vt:lpstr>
      <vt:lpstr>Appoggio</vt:lpstr>
      <vt:lpstr>Appoggio (2)</vt:lpstr>
      <vt:lpstr>cATEGORIA_RISCHIO</vt:lpstr>
      <vt:lpstr>CATEGORIA1</vt:lpstr>
      <vt:lpstr>'Appoggio (2)'!CATEGORIE</vt:lpstr>
      <vt:lpstr>CATEGORIE</vt:lpstr>
      <vt:lpstr>CATEGORIE1</vt:lpstr>
      <vt:lpstr>'Appoggio (2)'!Informativa_e_reporting</vt:lpstr>
      <vt:lpstr>Informativa_e_reporting</vt:lpstr>
      <vt:lpstr>Informativa_e_reporting1</vt:lpstr>
      <vt:lpstr>'Appoggio (2)'!Rischio_Clinico_Sanitario</vt:lpstr>
      <vt:lpstr>Rischio_Clinico_Sanitario</vt:lpstr>
      <vt:lpstr>Rischio_Clinico_Sanitario1</vt:lpstr>
      <vt:lpstr>'Appoggio (2)'!Rischio_di_Compliance</vt:lpstr>
      <vt:lpstr>Rischio_di_Compliance</vt:lpstr>
      <vt:lpstr>Rischio_di_Compliance1</vt:lpstr>
      <vt:lpstr>'Appoggio (2)'!Rischio_Esterno</vt:lpstr>
      <vt:lpstr>Rischio_Esterno</vt:lpstr>
      <vt:lpstr>Rischio_Esterno1</vt:lpstr>
      <vt:lpstr>'Appoggio (2)'!Rischio_Finanziario</vt:lpstr>
      <vt:lpstr>Rischio_Finanziario</vt:lpstr>
      <vt:lpstr>Rischio_Finanziario1</vt:lpstr>
      <vt:lpstr>'Appoggio (2)'!Rischio_Operativo</vt:lpstr>
      <vt:lpstr>Rischio_Operativo</vt:lpstr>
      <vt:lpstr>Rischio_Operativo1</vt:lpstr>
      <vt:lpstr>'Appoggio (2)'!Rischio_Strategico</vt:lpstr>
      <vt:lpstr>Rischio_Strategico</vt:lpstr>
      <vt:lpstr>Rischio_Strategico1</vt:lpstr>
      <vt:lpstr>'Appoggio (2)'!Salute_sicurezza_e_ambiente</vt:lpstr>
      <vt:lpstr>Salute_sicurezza_e_ambiente</vt:lpstr>
      <vt:lpstr>Salute_sicurezza_e_ambiente1</vt:lpstr>
      <vt:lpstr>'Appoggio (2)'!SANITARIO</vt:lpstr>
      <vt:lpstr>SANITARIO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Palumbo Isabella</cp:lastModifiedBy>
  <dcterms:created xsi:type="dcterms:W3CDTF">2015-06-05T18:17:20Z</dcterms:created>
  <dcterms:modified xsi:type="dcterms:W3CDTF">2026-05-25T08:58:58Z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2026-03-17T11:32:54Z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30ca70f8-47b2-476d-af89-3e2af207ddb8</vt:lpwstr>
  </property>
  <property fmtid="{D5CDD505-2E9C-101B-9397-08002B2CF9AE}" pid="8" name="MSIP_Label_38f1469a-2c2a-4aee-b92b-090d4c5468ff_ContentBits">
    <vt:lpwstr>0</vt:lpwstr>
  </property>
  <property fmtid="{D5CDD505-2E9C-101B-9397-08002B2CF9AE}" pid="9" name="MSIP_Label_38f1469a-2c2a-4aee-b92b-090d4c5468ff_Tag">
    <vt:lpwstr>10, 3, 0, 1</vt:lpwstr>
  </property>
</Properties>
</file>