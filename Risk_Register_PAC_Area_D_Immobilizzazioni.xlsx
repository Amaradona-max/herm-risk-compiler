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prova/Desktop/Risck Herm2026/"/>
    </mc:Choice>
  </mc:AlternateContent>
  <xr:revisionPtr revIDLastSave="0" documentId="8_{3F4448E9-749A-9145-B649-4872A12C2660}" xr6:coauthVersionLast="47" xr6:coauthVersionMax="47" xr10:uidLastSave="{00000000-0000-0000-0000-000000000000}"/>
  <bookViews>
    <workbookView xWindow="0" yWindow="680" windowWidth="34200" windowHeight="19700" activeTab="6" xr2:uid="{00000000-000D-0000-FFFF-FFFF00000000}"/>
  </bookViews>
  <sheets>
    <sheet name="Copertina" sheetId="1" r:id="rId1"/>
    <sheet name="Registro dei Rischi" sheetId="2" r:id="rId2"/>
    <sheet name="Rischi per aree PAC" sheetId="3" r:id="rId3"/>
    <sheet name="Risk Guide" sheetId="4" r:id="rId4"/>
    <sheet name="Risk Model" sheetId="5" r:id="rId5"/>
    <sheet name="Metriche di valutazione" sheetId="6" r:id="rId6"/>
    <sheet name="Appoggio" sheetId="7" r:id="rId7"/>
    <sheet name="Fonti e note" sheetId="8" r:id="rId8"/>
  </sheets>
  <definedNames>
    <definedName name="_xlcn.WorksheetConnection_Risk_Register_PAC_compilato.xlsxTabella1" hidden="1">'Rischi per aree PAC'!$E$1:$F$25</definedName>
    <definedName name="_xlcn.WorksheetConnection_Risk_Register_PAC_compilato.xlsxTabella2" hidden="1">Categoria_di_Rischio_Liv.1</definedName>
    <definedName name="CATEGORIE">'Rischi per aree PAC'!$D$1:$D$5</definedName>
    <definedName name="COMPLIANCE">'Rischi per aree PAC'!$J$1:$J$6</definedName>
    <definedName name="ESTERNI">'Rischi per aree PAC'!$F$1:$F$5</definedName>
    <definedName name="FINANZIARI">'Rischi per aree PAC'!$G$1:$G$5</definedName>
    <definedName name="Informativa_e_reporting">Appoggio!$R$54:$R$56</definedName>
    <definedName name="nessuno">'Rischi per aree PAC'!$L$1</definedName>
    <definedName name="OPERATIVI">'Rischi per aree PAC'!$I$1:$I$2</definedName>
    <definedName name="Rischio_Clinico_Sanitario">Appoggio!$Q$3:$Q$16</definedName>
    <definedName name="Rischio_di_Compliance">Appoggio!$Q$46:$Q$51</definedName>
    <definedName name="Rischio_Esterno">Appoggio!$Q$17:$Q$22</definedName>
    <definedName name="Rischio_Finanziario">Appoggio!$Q$23:$Q$27</definedName>
    <definedName name="Rischio_Operativo">Appoggio!$Q$34:$Q$45</definedName>
    <definedName name="Rischio_Strategico">Appoggio!$Q$28:$Q$33</definedName>
    <definedName name="Salute_sicurezza_e_ambiente">Appoggio!$R$57:$R$68</definedName>
    <definedName name="strategici">'Rischi per aree PAC'!$H$1:$H$6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1" i="2" l="1"/>
  <c r="BC21" i="2" s="1"/>
  <c r="AY21" i="2"/>
  <c r="AU21" i="2"/>
  <c r="AM21" i="2"/>
  <c r="AJ21" i="2"/>
  <c r="AS21" i="2" s="1"/>
  <c r="AI21" i="2"/>
  <c r="AR21" i="2" s="1"/>
  <c r="AH21" i="2"/>
  <c r="AQ21" i="2" s="1"/>
  <c r="AG21" i="2"/>
  <c r="AP21" i="2" s="1"/>
  <c r="AF21" i="2"/>
  <c r="AO21" i="2" s="1"/>
  <c r="AE21" i="2"/>
  <c r="AN21" i="2" s="1"/>
  <c r="U21" i="2"/>
  <c r="W21" i="2" s="1"/>
  <c r="BA20" i="2"/>
  <c r="AY20" i="2"/>
  <c r="AR20" i="2"/>
  <c r="AN20" i="2"/>
  <c r="AM20" i="2"/>
  <c r="AU20" i="2" s="1"/>
  <c r="AJ20" i="2"/>
  <c r="AS20" i="2" s="1"/>
  <c r="AI20" i="2"/>
  <c r="AH20" i="2"/>
  <c r="AQ20" i="2" s="1"/>
  <c r="AG20" i="2"/>
  <c r="AP20" i="2" s="1"/>
  <c r="AF20" i="2"/>
  <c r="AO20" i="2" s="1"/>
  <c r="AE20" i="2"/>
  <c r="U20" i="2"/>
  <c r="W20" i="2" s="1"/>
  <c r="BC19" i="2"/>
  <c r="BA19" i="2"/>
  <c r="AY19" i="2"/>
  <c r="AU19" i="2"/>
  <c r="AQ19" i="2"/>
  <c r="AP19" i="2"/>
  <c r="AM19" i="2"/>
  <c r="AJ19" i="2"/>
  <c r="AS19" i="2" s="1"/>
  <c r="AI19" i="2"/>
  <c r="AR19" i="2" s="1"/>
  <c r="AH19" i="2"/>
  <c r="AG19" i="2"/>
  <c r="AF19" i="2"/>
  <c r="AO19" i="2" s="1"/>
  <c r="AE19" i="2"/>
  <c r="AN19" i="2" s="1"/>
  <c r="AT19" i="2" s="1"/>
  <c r="AV19" i="2" s="1"/>
  <c r="W19" i="2"/>
  <c r="U19" i="2"/>
  <c r="BA18" i="2"/>
  <c r="BC18" i="2" s="1"/>
  <c r="AY18" i="2"/>
  <c r="AU18" i="2"/>
  <c r="AS18" i="2"/>
  <c r="AO18" i="2"/>
  <c r="AN18" i="2"/>
  <c r="AM18" i="2"/>
  <c r="AJ18" i="2"/>
  <c r="AI18" i="2"/>
  <c r="AR18" i="2" s="1"/>
  <c r="AH18" i="2"/>
  <c r="AQ18" i="2" s="1"/>
  <c r="AG18" i="2"/>
  <c r="AP18" i="2" s="1"/>
  <c r="AF18" i="2"/>
  <c r="AE18" i="2"/>
  <c r="U18" i="2"/>
  <c r="W18" i="2" s="1"/>
  <c r="BA17" i="2"/>
  <c r="AY17" i="2"/>
  <c r="AR17" i="2"/>
  <c r="AQ17" i="2"/>
  <c r="AM17" i="2"/>
  <c r="AU17" i="2" s="1"/>
  <c r="AJ17" i="2"/>
  <c r="AS17" i="2" s="1"/>
  <c r="AI17" i="2"/>
  <c r="AH17" i="2"/>
  <c r="AG17" i="2"/>
  <c r="AP17" i="2" s="1"/>
  <c r="AF17" i="2"/>
  <c r="AO17" i="2" s="1"/>
  <c r="AE17" i="2"/>
  <c r="AN17" i="2" s="1"/>
  <c r="U17" i="2"/>
  <c r="W17" i="2" s="1"/>
  <c r="BC16" i="2"/>
  <c r="BA16" i="2"/>
  <c r="AY16" i="2"/>
  <c r="AU16" i="2"/>
  <c r="AP16" i="2"/>
  <c r="AO16" i="2"/>
  <c r="AM16" i="2"/>
  <c r="AJ16" i="2"/>
  <c r="AS16" i="2" s="1"/>
  <c r="AI16" i="2"/>
  <c r="AR16" i="2" s="1"/>
  <c r="AH16" i="2"/>
  <c r="AQ16" i="2" s="1"/>
  <c r="AG16" i="2"/>
  <c r="AF16" i="2"/>
  <c r="AE16" i="2"/>
  <c r="AN16" i="2" s="1"/>
  <c r="AT16" i="2" s="1"/>
  <c r="U16" i="2"/>
  <c r="W16" i="2" s="1"/>
  <c r="BA15" i="2"/>
  <c r="AY15" i="2"/>
  <c r="AS15" i="2"/>
  <c r="AR15" i="2"/>
  <c r="AN15" i="2"/>
  <c r="AM15" i="2"/>
  <c r="AU15" i="2" s="1"/>
  <c r="AJ15" i="2"/>
  <c r="AI15" i="2"/>
  <c r="AH15" i="2"/>
  <c r="AQ15" i="2" s="1"/>
  <c r="AG15" i="2"/>
  <c r="AP15" i="2" s="1"/>
  <c r="AF15" i="2"/>
  <c r="AO15" i="2" s="1"/>
  <c r="AE15" i="2"/>
  <c r="U15" i="2"/>
  <c r="W15" i="2" s="1"/>
  <c r="BA14" i="2"/>
  <c r="AY14" i="2"/>
  <c r="AU14" i="2"/>
  <c r="BC14" i="2" s="1"/>
  <c r="AQ14" i="2"/>
  <c r="AP14" i="2"/>
  <c r="AM14" i="2"/>
  <c r="AJ14" i="2"/>
  <c r="AS14" i="2" s="1"/>
  <c r="AI14" i="2"/>
  <c r="AR14" i="2" s="1"/>
  <c r="AH14" i="2"/>
  <c r="AG14" i="2"/>
  <c r="AF14" i="2"/>
  <c r="AO14" i="2" s="1"/>
  <c r="AE14" i="2"/>
  <c r="AN14" i="2" s="1"/>
  <c r="W14" i="2"/>
  <c r="U14" i="2"/>
  <c r="BA13" i="2"/>
  <c r="BC13" i="2" s="1"/>
  <c r="AY13" i="2"/>
  <c r="AU13" i="2"/>
  <c r="AS13" i="2"/>
  <c r="AO13" i="2"/>
  <c r="AN13" i="2"/>
  <c r="AM13" i="2"/>
  <c r="AJ13" i="2"/>
  <c r="AI13" i="2"/>
  <c r="AR13" i="2" s="1"/>
  <c r="AH13" i="2"/>
  <c r="AQ13" i="2" s="1"/>
  <c r="AG13" i="2"/>
  <c r="AP13" i="2" s="1"/>
  <c r="AF13" i="2"/>
  <c r="AE13" i="2"/>
  <c r="U13" i="2"/>
  <c r="W13" i="2" s="1"/>
  <c r="BA12" i="2"/>
  <c r="BC12" i="2" s="1"/>
  <c r="AY12" i="2"/>
  <c r="AR12" i="2"/>
  <c r="AQ12" i="2"/>
  <c r="AM12" i="2"/>
  <c r="AU12" i="2" s="1"/>
  <c r="AJ12" i="2"/>
  <c r="AS12" i="2" s="1"/>
  <c r="AI12" i="2"/>
  <c r="AH12" i="2"/>
  <c r="AG12" i="2"/>
  <c r="AP12" i="2" s="1"/>
  <c r="AF12" i="2"/>
  <c r="AO12" i="2" s="1"/>
  <c r="AE12" i="2"/>
  <c r="AN12" i="2" s="1"/>
  <c r="W12" i="2"/>
  <c r="U12" i="2"/>
  <c r="BA11" i="2"/>
  <c r="AY11" i="2"/>
  <c r="AU11" i="2"/>
  <c r="BC11" i="2" s="1"/>
  <c r="AP11" i="2"/>
  <c r="AO11" i="2"/>
  <c r="AM11" i="2"/>
  <c r="AJ11" i="2"/>
  <c r="AS11" i="2" s="1"/>
  <c r="AI11" i="2"/>
  <c r="AR11" i="2" s="1"/>
  <c r="AH11" i="2"/>
  <c r="AQ11" i="2" s="1"/>
  <c r="AG11" i="2"/>
  <c r="AF11" i="2"/>
  <c r="AE11" i="2"/>
  <c r="AN11" i="2" s="1"/>
  <c r="U11" i="2"/>
  <c r="W11" i="2" s="1"/>
  <c r="BA10" i="2"/>
  <c r="BC10" i="2" s="1"/>
  <c r="AY10" i="2"/>
  <c r="AS10" i="2"/>
  <c r="AR10" i="2"/>
  <c r="AN10" i="2"/>
  <c r="AM10" i="2"/>
  <c r="AU10" i="2" s="1"/>
  <c r="AJ10" i="2"/>
  <c r="AI10" i="2"/>
  <c r="AH10" i="2"/>
  <c r="AQ10" i="2" s="1"/>
  <c r="AG10" i="2"/>
  <c r="AP10" i="2" s="1"/>
  <c r="AF10" i="2"/>
  <c r="AO10" i="2" s="1"/>
  <c r="AE10" i="2"/>
  <c r="U10" i="2"/>
  <c r="W10" i="2" s="1"/>
  <c r="BC9" i="2"/>
  <c r="BA9" i="2"/>
  <c r="AY9" i="2"/>
  <c r="AU9" i="2"/>
  <c r="AQ9" i="2"/>
  <c r="AP9" i="2"/>
  <c r="AM9" i="2"/>
  <c r="AJ9" i="2"/>
  <c r="AS9" i="2" s="1"/>
  <c r="AI9" i="2"/>
  <c r="AR9" i="2" s="1"/>
  <c r="AH9" i="2"/>
  <c r="AG9" i="2"/>
  <c r="AF9" i="2"/>
  <c r="AO9" i="2" s="1"/>
  <c r="AE9" i="2"/>
  <c r="AN9" i="2" s="1"/>
  <c r="W9" i="2"/>
  <c r="U9" i="2"/>
  <c r="BA8" i="2"/>
  <c r="BC8" i="2" s="1"/>
  <c r="AY8" i="2"/>
  <c r="AU8" i="2"/>
  <c r="AS8" i="2"/>
  <c r="AO8" i="2"/>
  <c r="AN8" i="2"/>
  <c r="AM8" i="2"/>
  <c r="AJ8" i="2"/>
  <c r="AI8" i="2"/>
  <c r="AR8" i="2" s="1"/>
  <c r="AH8" i="2"/>
  <c r="AQ8" i="2" s="1"/>
  <c r="AG8" i="2"/>
  <c r="AP8" i="2" s="1"/>
  <c r="AF8" i="2"/>
  <c r="AE8" i="2"/>
  <c r="U8" i="2"/>
  <c r="W8" i="2" s="1"/>
  <c r="BA7" i="2"/>
  <c r="BC7" i="2" s="1"/>
  <c r="AY7" i="2"/>
  <c r="AR7" i="2"/>
  <c r="AQ7" i="2"/>
  <c r="AM7" i="2"/>
  <c r="AU7" i="2" s="1"/>
  <c r="AJ7" i="2"/>
  <c r="AS7" i="2" s="1"/>
  <c r="AI7" i="2"/>
  <c r="AH7" i="2"/>
  <c r="AG7" i="2"/>
  <c r="AP7" i="2" s="1"/>
  <c r="AF7" i="2"/>
  <c r="AO7" i="2" s="1"/>
  <c r="AE7" i="2"/>
  <c r="AN7" i="2" s="1"/>
  <c r="AT7" i="2" s="1"/>
  <c r="AV7" i="2" s="1"/>
  <c r="U7" i="2"/>
  <c r="W7" i="2" s="1"/>
  <c r="BB19" i="2" l="1"/>
  <c r="BD19" i="2" s="1"/>
  <c r="AT10" i="2"/>
  <c r="AV10" i="2" s="1"/>
  <c r="AT12" i="2"/>
  <c r="AV12" i="2" s="1"/>
  <c r="BB15" i="2"/>
  <c r="BD15" i="2" s="1"/>
  <c r="AT21" i="2"/>
  <c r="AV21" i="2" s="1"/>
  <c r="BB7" i="2"/>
  <c r="BD7" i="2" s="1"/>
  <c r="AT8" i="2"/>
  <c r="BC15" i="2"/>
  <c r="AT11" i="2"/>
  <c r="AT14" i="2"/>
  <c r="AV14" i="2" s="1"/>
  <c r="BB14" i="2"/>
  <c r="BD14" i="2" s="1"/>
  <c r="AT15" i="2"/>
  <c r="AV15" i="2" s="1"/>
  <c r="AT17" i="2"/>
  <c r="AV17" i="2" s="1"/>
  <c r="BC17" i="2"/>
  <c r="BB20" i="2"/>
  <c r="BD20" i="2" s="1"/>
  <c r="BB16" i="2"/>
  <c r="BD16" i="2" s="1"/>
  <c r="AV16" i="2"/>
  <c r="AT18" i="2"/>
  <c r="BC20" i="2"/>
  <c r="AT20" i="2"/>
  <c r="AV20" i="2" s="1"/>
  <c r="AT9" i="2"/>
  <c r="AV9" i="2" s="1"/>
  <c r="BB9" i="2"/>
  <c r="BD9" i="2" s="1"/>
  <c r="BB12" i="2"/>
  <c r="BD12" i="2" s="1"/>
  <c r="AT13" i="2"/>
  <c r="AV8" i="2" l="1"/>
  <c r="BB8" i="2"/>
  <c r="BD8" i="2" s="1"/>
  <c r="AV18" i="2"/>
  <c r="BB18" i="2"/>
  <c r="BD18" i="2" s="1"/>
  <c r="AV11" i="2"/>
  <c r="BB11" i="2"/>
  <c r="BD11" i="2" s="1"/>
  <c r="BB17" i="2"/>
  <c r="BD17" i="2" s="1"/>
  <c r="BB13" i="2"/>
  <c r="BD13" i="2" s="1"/>
  <c r="AV13" i="2"/>
  <c r="BB21" i="2"/>
  <c r="BD21" i="2" s="1"/>
  <c r="BB10" i="2"/>
  <c r="BD10" i="2" s="1"/>
</calcChain>
</file>

<file path=xl/sharedStrings.xml><?xml version="1.0" encoding="utf-8"?>
<sst xmlns="http://schemas.openxmlformats.org/spreadsheetml/2006/main" count="975" uniqueCount="540">
  <si>
    <t>Logo Struttura</t>
  </si>
  <si>
    <t>Registro dei Rischi</t>
  </si>
  <si>
    <t>Risk Guide</t>
  </si>
  <si>
    <t>Risk Model</t>
  </si>
  <si>
    <t>Metriche di Valutazione</t>
  </si>
  <si>
    <t>OWNERSHIP DEL RISCHIO</t>
  </si>
  <si>
    <t>ANAGRAFICA DEL RISCHIO</t>
  </si>
  <si>
    <t>ANALISI DEL RISCHIO</t>
  </si>
  <si>
    <t>VALUTAZIONE RISCHIO INERENTE</t>
  </si>
  <si>
    <t>VALUTAZIONE SISTEMA DI CONTROLLI IN ESSERE</t>
  </si>
  <si>
    <t>VALUTAZIONE RISCHIO RESIDUO</t>
  </si>
  <si>
    <t>AZIONI</t>
  </si>
  <si>
    <t>VALUTAZIONE AZIONI DI MITIGAZIONE E MIGLIORAMENTO</t>
  </si>
  <si>
    <t>VALUTAZIONE RISCHIO RESIDUO TO-BE</t>
  </si>
  <si>
    <t># Rischio</t>
  </si>
  <si>
    <t>ID Rischio</t>
  </si>
  <si>
    <t>Direzione</t>
  </si>
  <si>
    <t>Risk Owner</t>
  </si>
  <si>
    <t>Processo</t>
  </si>
  <si>
    <t>Categoria Rischio Livello 1</t>
  </si>
  <si>
    <t>Categoria Rischio Livello 2</t>
  </si>
  <si>
    <t>Categoria Rischio Livello 3</t>
  </si>
  <si>
    <t>Scenario di rischio</t>
  </si>
  <si>
    <t>Principali cause del rischio</t>
  </si>
  <si>
    <t>Principali conseguenze del rischio</t>
  </si>
  <si>
    <t>Valutazione del rischio</t>
  </si>
  <si>
    <t>Economico-Finanziario</t>
  </si>
  <si>
    <t>Reputazionale</t>
  </si>
  <si>
    <t>Salute e Sicurezza</t>
  </si>
  <si>
    <t>Compliance</t>
  </si>
  <si>
    <t>Gestionale - Operativo</t>
  </si>
  <si>
    <t>Ambiente</t>
  </si>
  <si>
    <t>Impatto Inerente</t>
  </si>
  <si>
    <t>Probabilità Inerente</t>
  </si>
  <si>
    <t>RPN Inerente</t>
  </si>
  <si>
    <t>Mitigazioni operative CORRETTIVE in essere</t>
  </si>
  <si>
    <t>Valutazione controlli su impatto eco-fin</t>
  </si>
  <si>
    <t>Valutazione controlli su impatto reputazionale</t>
  </si>
  <si>
    <t>Valutazione controlli su impatto salute e sicurezza</t>
  </si>
  <si>
    <t>Valutazione controlli su impatto compliance</t>
  </si>
  <si>
    <t>Valutazione controlli su impatto gest-ope</t>
  </si>
  <si>
    <t>Valutazione controlli su impatto ambientale</t>
  </si>
  <si>
    <t>Fattore riduzione impatto eco-fin</t>
  </si>
  <si>
    <t>Fattore riduzione impatto reputazionale</t>
  </si>
  <si>
    <t>Fattore riduzione impatto salute e sicurezza</t>
  </si>
  <si>
    <t>Fattore riduzione impatto compliance</t>
  </si>
  <si>
    <t>Fattore riduzione impatto gest-ope</t>
  </si>
  <si>
    <t>Fattore riduzione impatto ambientale</t>
  </si>
  <si>
    <t>Mitigazioni operative PREVENTIVE in essere</t>
  </si>
  <si>
    <t>Valutazione controlli preventivi</t>
  </si>
  <si>
    <t>Fattore riduzione probabilità</t>
  </si>
  <si>
    <t>Gestionale- Operativo</t>
  </si>
  <si>
    <t>Impatto Residuo</t>
  </si>
  <si>
    <t>Probabilità Residua</t>
  </si>
  <si>
    <t xml:space="preserve"> RPN Residuo</t>
  </si>
  <si>
    <t>Azioni di mitigazione e miglioramento</t>
  </si>
  <si>
    <t>Efficacia delle azioni CORRETTIVE</t>
  </si>
  <si>
    <t>Fattore riduzione impatto</t>
  </si>
  <si>
    <t>Efficacia delle azioni PREVENTIVE</t>
  </si>
  <si>
    <t>Impatto Residuo to-be</t>
  </si>
  <si>
    <t>Probabilità residua to-be</t>
  </si>
  <si>
    <t xml:space="preserve"> RPN Residuo to-be</t>
  </si>
  <si>
    <t>PAC (Percorso Attuativo della Certificabilità)</t>
  </si>
  <si>
    <t>ESTERNI</t>
  </si>
  <si>
    <t>Contesto socio-economico nazionale e regionale</t>
  </si>
  <si>
    <t>Contabilità e reporting finanziario</t>
  </si>
  <si>
    <t>Comunicazione e relazioni istituzionali</t>
  </si>
  <si>
    <t>Gestione apparecchiature sanitarie</t>
  </si>
  <si>
    <t>Anticorruzione</t>
  </si>
  <si>
    <t>N.A.</t>
  </si>
  <si>
    <t>FINANZIARI</t>
  </si>
  <si>
    <t>Evoluzione del contesto normativo</t>
  </si>
  <si>
    <t>Erariale patrimoniale</t>
  </si>
  <si>
    <t>Governance</t>
  </si>
  <si>
    <t>Gestione farmaci e dispositivi medici</t>
  </si>
  <si>
    <t>Codice etico</t>
  </si>
  <si>
    <t>STRATEGICI</t>
  </si>
  <si>
    <t>Gestione Terze Parti</t>
  </si>
  <si>
    <t>Fiscale</t>
  </si>
  <si>
    <t>Immagine/Reputazione</t>
  </si>
  <si>
    <t>Contrattualistica e controversie legali</t>
  </si>
  <si>
    <t>OPERATIVI</t>
  </si>
  <si>
    <t>Illeciti esterni</t>
  </si>
  <si>
    <t>Liquidità e credito</t>
  </si>
  <si>
    <t>Investimenti e patrimonio</t>
  </si>
  <si>
    <t>Normativa (regionale, nazionale, comunitaria)</t>
  </si>
  <si>
    <t>COMPLIANCE</t>
  </si>
  <si>
    <t>Sicurezza informatica</t>
  </si>
  <si>
    <t>Tassi d’interesse</t>
  </si>
  <si>
    <t>Pianificazione strategica</t>
  </si>
  <si>
    <t>Regolamenti interni</t>
  </si>
  <si>
    <t>Sistema di Controllo Interno</t>
  </si>
  <si>
    <t>Sicurezza delle informazioni e tutela privacy</t>
  </si>
  <si>
    <t>Numero progressivo associato a ciascuno scenario di rischio</t>
  </si>
  <si>
    <t>Codice univoco associato a ciascuno scenario di rischio rilevato, contenente la sigla del Processo, la Categoria di Rischio e il numero progressivo associato a ciascuno scenario di rischio</t>
  </si>
  <si>
    <t>Area aziendale responsabile della gestione del rischio identificato</t>
  </si>
  <si>
    <t>Responsabile dell'Area aziendale che gestisce il rischio, ne comprende l’entità, decide la misura di trattamento (tollerarlo, mitigarlo, esternalizzarlo, eliminarlo) e guida la sua implementazione</t>
  </si>
  <si>
    <t>Processo di riferimento, individuato sulla base del Process Model specifico per la struttura</t>
  </si>
  <si>
    <t>Categoria Rischio Liv. 1</t>
  </si>
  <si>
    <t>Raggruppamento dei rischi secondo categorie omogenee per natura, caratteristiche o manifestazione. Le categorie sono identificate e definite nel Risk Model.</t>
  </si>
  <si>
    <t>Categoria Rischio Liv. 2</t>
  </si>
  <si>
    <t>Sotto-categorie di rischio identificate nel Risk Model</t>
  </si>
  <si>
    <t>Categoria di rischio di 3° livello identificate nel Risk Model</t>
  </si>
  <si>
    <t>Descrizione del rischio rilevato.
Rischio: Evento probabile ma non certo che può portare ad uno scostamento (negativo) dagli obiettivi o dal valore atteso</t>
  </si>
  <si>
    <t xml:space="preserve"> Principali cause che possono scatenare il rischio rilevato</t>
  </si>
  <si>
    <t>Principali conseguenze che possono derivare dal rischio</t>
  </si>
  <si>
    <t>Valutazione del Rischio</t>
  </si>
  <si>
    <t>Informazioni a supporto del processo di valutazione</t>
  </si>
  <si>
    <t>Valutazione Rischio Inerente</t>
  </si>
  <si>
    <t>Valori di impatto e probabilità (basati sulle metriche definite e disponibili nello sheet "Metriche di valutazione") assegnati al fine di determinare il valore di rischio inerente</t>
  </si>
  <si>
    <t>Mitigazioni operative correttive in essere</t>
  </si>
  <si>
    <t>Attività operative poste in essere dall'Area Aziendale per contenere l'impatto del rischio</t>
  </si>
  <si>
    <t>Mitigazioni operative preventive in essere</t>
  </si>
  <si>
    <t>Attività operative poste in essere dall'Area Aziendale per ridurre la probabilità di accadimento del rischio</t>
  </si>
  <si>
    <t>Valutazione Rischio Residuo</t>
  </si>
  <si>
    <t>Valori di impatto e probabilità (basati sulle metriche definite e disponibili nello sheet "Metriche di valutazione") assegnati al fine di determinare il valore di rischio residuo</t>
  </si>
  <si>
    <t>Azioni di mitigazioni e miglioramento</t>
  </si>
  <si>
    <t>Raccomandazioni ulteriori proposte per la mitigazione del rischio</t>
  </si>
  <si>
    <t>Valutazione Rischio Residuo to-be</t>
  </si>
  <si>
    <t>Valore del rischio residuo previsto, considerata l'implementazione delle azioni di mitigazione e miglioramento</t>
  </si>
  <si>
    <t>Categoria di Rischio Liv. 1</t>
  </si>
  <si>
    <t>Categoria di Rischio Liv. 2</t>
  </si>
  <si>
    <t>Descrizione</t>
  </si>
  <si>
    <t>Categoria di Rischio Liv. 3</t>
  </si>
  <si>
    <t>CLINICO-SANITARI
(Rischi derivanti da eventi che possono prolungare il periodo di degenza, il peggioramento delle condizioni di salute o la morte del paziente)</t>
  </si>
  <si>
    <t>Anestesiologico</t>
  </si>
  <si>
    <t>Durante l’induzione dell’anestesia o in fase di rianimazione, somministrazione di farmaci/dosaggi sbagliati o esecuzione di procedure/manovre errate che possono causare reazioni avverse (es. lesioni, reazioni allergiche).</t>
  </si>
  <si>
    <t>Assistenziale</t>
  </si>
  <si>
    <t>Ogni inesattezza, incompletezza od omissione commessa nell’esecuzione di procedure/manovre clinico-assistenziali mediche e infermieristiche (es. posizionamento catetere/drenaggio, preparazione intervento, mobilizzazione e posizionamento nel posto letto, sorveglianza post-operatoria) che possono causare aventi avversi.</t>
  </si>
  <si>
    <t>Atti di autolesione e tentativi di suicidio</t>
  </si>
  <si>
    <t>Possibilità del paziente di provocarsi dolore o lesioni superficiali intenzionali finalizzati all’autolesionismo o alla morte. Atti di autolesione non intenzionali.</t>
  </si>
  <si>
    <t>Caduta</t>
  </si>
  <si>
    <t>Improvviso, non intenzionale, inaspettato spostamento verso il basso dalla posizione ortostatica o assisa o clinostatica del paziente, ospite o caregiver. La testimonianza delle cadute è basata sul ricordo del paziente e/o la descrizione della caduta da parte dei testimoni. Qui sono incluse i pazienti che dormendo sulla sedia cadono per terra, i pazienti ritrovati sul pavimento e le cadute avvenute nonostante il supporto.</t>
  </si>
  <si>
    <t>Chirurgico</t>
  </si>
  <si>
    <t xml:space="preserve">Corpi estranei nel focolaio chirurgico, intervento su parte o lato del corpo sbagliata, esecuzione chirurgica impropria, chirurgia non necessaria, utilizzo di materiale chirurgico difettoso, gestione non corretta del paziente chirurgico. </t>
  </si>
  <si>
    <t>Diagnostico</t>
  </si>
  <si>
    <t>Esami o procedure diagnostiche non eseguite, programmate ma non eseguite, eseguite in modo inadeguato o scorretto o con materiali inadeguati, eseguite tardivamente, non appropriate. L’area include le procedure invasive e non invasive a scopo diagnostico.</t>
  </si>
  <si>
    <t>Gestione / redazione documenti</t>
  </si>
  <si>
    <t>Inesattezza, incompletezza, scarsa leggibilità, incomprensione degli acronimi/abbreviazioni della documentazione utilizzata nei processi clinico-assistenziali (es. consenso informato, cartella clinica, cartella infermieristica, referti, lettera dimissioni). Documentazione sanitaria che non rappresenta esaustivamente il percorso del paziente (inclusi eventuali trasferimenti) o che non contiene informazioni per garantire la continuità delle cure.</t>
  </si>
  <si>
    <t>Identificazione del paziente</t>
  </si>
  <si>
    <t>Possibilità di scambiare dati anagrafici di pazienti diversi oppure di eseguire procedure diagnostico-terapeutiche su un paziente ma prescritte a pazienti diversi.</t>
  </si>
  <si>
    <t>Infezione correlata all'assistenza</t>
  </si>
  <si>
    <t>Possibilità di acquisire infezioni in ogni ambito assistenziale, incluso gli ospedali per acuti, il day-hospital/day-surgery, le strutture di lungodegenza, gli ambulatori, l’assistenza domiciliare, le strutture residenziali territoriali.</t>
  </si>
  <si>
    <t>Ostetrico e neonatale, inclusi i trigger</t>
  </si>
  <si>
    <t>Ogni inesattezza, incompletezza od omissione che può verificarsi nelle fasi di gestione dei percorsi di cura materno-neonatali nelle fasi di gravidanza, parto e puerperio.</t>
  </si>
  <si>
    <t>Prevenzione</t>
  </si>
  <si>
    <t>Ogni inesattezza, incompletezza od omissione che può verificarsi nelle campagne di promozione della salute individuale e collettiva (es. screening, iniziative di sensibilizzazione) o nelle attività finalizzate alla riduzione dei fattori di rischio delle malattie (es. vaccini, profilassi antibiotica).</t>
  </si>
  <si>
    <t>Sperimentazioni cliniche</t>
  </si>
  <si>
    <t>Violazione dei diritti, della sicurezza e del benessere dei soggetti coinvolti nelle sperimentazioni cliniche. Inesattezza/incompletezza del protocollo di sperimentazione. Mancata indipendenza del Comitato Etico.</t>
  </si>
  <si>
    <t>Terapeutico</t>
  </si>
  <si>
    <t>Ogni evento avverso, indesiderabile, non intenzionale, prevenibile che può causare o portare ad un uso inappropriato del farmaco o ad un pericolo per il paziente: errore di prescrizione, di trasmissione della prescrizione, etichettatura, confezionamento o denominazione, allestimento, dispensazione, distribuzione, somministrazione, educazione, monitoraggio ed uso.</t>
  </si>
  <si>
    <t>Trasfusionale</t>
  </si>
  <si>
    <t>Ogni inesattezza, incompletezza od omissione che può verificarsi nelle fasi del processo trasfusionale: prelievo del campione, richiesta di emocomponenti, accettazione-registrazione-assegnazione presso il Servizio Trasfusionale e trasfusione presso la struttura sanitaria.</t>
  </si>
  <si>
    <t>ESTERNI
(Rischi derivanti da eventi e cambiamenti nell'ambiente e nel contesto in cui l'azienda opera)</t>
  </si>
  <si>
    <t>Dinamiche macroeconomiche o di contesto socio-politico che generano ripercussioni negative sullo scenario in cui l’Azienda opera.</t>
  </si>
  <si>
    <t>Eventi naturali o accidentale</t>
  </si>
  <si>
    <t>Eventi catastrofali o calamitosi di tipo naturale (es. alluvioni, inondazioni, terremoti) o atto involontario che genera conseguenze negative sull’operatività aziendale.</t>
  </si>
  <si>
    <t>Variazioni/cambiamenti sfavorevoli delle norme/regolamenti regionali e nazionali vigenti con ripercussioni sulle attività e sulla struttura organizzativa.</t>
  </si>
  <si>
    <t>Difformità qualitative, ritardi nei tempi di fornitura e ogni altro tipo di inadempimento contrattuale generato dai fornitori di beni e servizi. Informazioni inesatte, ritardi e ogni altra forma di scarsa collaborazione di soggetti coinvolti nei progetti di partnership.</t>
  </si>
  <si>
    <t>Atto/comportamento illecito doloso o colposo commesso da terzi o che coinvolgono terze parti che causa un danno all’azienda, alle persone o alle cose ad esclusione degli attacchi informatici.</t>
  </si>
  <si>
    <t>Attacchi informatici posti in essere da individui o organizzazioni criminali finalizzati a trafugare, disabilitare o distruggere dati o generare guasti e interruzioni ai sistemi informatici aziendali.</t>
  </si>
  <si>
    <t xml:space="preserve"> FINANZIARI
(Rischi legati agli aspetti finanziari, ad esempio mercato, credito) </t>
  </si>
  <si>
    <t>Inesattezze, errori ed omissioni commessi nelle attività e nei processi di rilevazione contabile e predisposizione della reportistica direzionale (es. controllo di gestione) che compromettono l’attendibilità dei dati aziendali.</t>
  </si>
  <si>
    <t>Ogni circostanza di danneggiamento o perdita di beni o denaro generato alle finanze pubbliche da comportamenti o omissioni dolose o colpose commessi da soggetti legati all’amministrazione da un rapporto di servizio.</t>
  </si>
  <si>
    <t>Inesattezze, errori ed omissioni commessi nell’esecuzione delle attività e nella gestione dei processi della fiscalità aziendale.</t>
  </si>
  <si>
    <t>Eccessi o carenze delle disponibilità di cassa rispetto alla pianificazione dei flussi di cassa. Riduzione del valore dei crediti iscritti in bilancio causato da inadempimenti contrattuali o abbassamento del grado di solvibilità dei debitori.</t>
  </si>
  <si>
    <t>Variazioni inattese dei tassi d'interesse con ricadute sui valori iscritti tra le attività e passività di bilancio e/o sulla gestione finanziaria.</t>
  </si>
  <si>
    <t>STRATEGICI
(Rischi derivanti da decisioni strategiche sbagliate, dalla loro attuazione inadeguata o da una governance aziendale non adeguata al raggiungimento degli obiettivi aziendali. I rischi strategici possono anche derivare dal disallineamento della strategia con la visione, la missione e i valori fondamentali dell'azienda).</t>
  </si>
  <si>
    <t>Ogni evento/circostanza che compromette la capacità dell’Azienda di comunicare efficacemente con stakeholder esterni e/o creare/mantenere relazioni.</t>
  </si>
  <si>
    <t>Possibilità di incoerenza fra obiettivi strategici e mission vision aziendali. Struttura organizzativa (ruoli e responsabilità) e linee guida/principi di governo parziali o inadeguati.</t>
  </si>
  <si>
    <t>Ogni evento/circostanza che compromette l'immagine dell’Azienda davanti gli stakeholders interni o esterni rilevanti (es. dipendenti, associazioni pazienti, enti di volontariato, fornitori, autorità e istituzioni nazionali/internazionali) derivante dalla diffusione di notizie negative su media, stampa, web o altri mezzi di comunicazione.</t>
  </si>
  <si>
    <t>Inadeguata gestione degli investimenti o del patrimonio. Inappropriate o inadeguate Iniziative di crescita organica, azioni di miglioramento o progetti di ampliamento del sistema di offerta.</t>
  </si>
  <si>
    <t>Pianificazione strategica non rispondente alle priorità del sistema socio sanitario regionale o incompatibile con le risorse disponibili. Obiettivi definiti sulla base di dati/informazioni parziali, incompleti o inadeguati.</t>
  </si>
  <si>
    <t>Inadeguato / inefficace processo di identificazione, valutazione, gestione e monitoraggio dei rischi e/o inadeguatezza dei presidi di controllo implementati.</t>
  </si>
  <si>
    <t>OPERATIVI
(Rischi derivanti da inadeguatezze o errori nei processi aziendali e di supporto e/o difetti nel sistema dei controlli operativi)</t>
  </si>
  <si>
    <t>Attività, processi e procedure</t>
  </si>
  <si>
    <t>Carenze nel disegno dei processi dell’Azienda, inadempienze / negligenze / errori nelle modalità di esecuzione / gestione delle attività operative e dai relativi presidi di controllo.</t>
  </si>
  <si>
    <t>Asset infrastrutturali e tecnologia</t>
  </si>
  <si>
    <t xml:space="preserve">Infrastrutture e tecnologie, diverse dalle apparecchiature sanitarie, strutturalmente inadatte (es. rete informatica che non consente di caricare i documenti sanitari, sede operativa che non garantisce la regolazione della temperatura nei locali di cura) o oggetto di malfunzionamenti (es. blocco server), danneggiamenti, errori d’uso, carente manutenzione. </t>
  </si>
  <si>
    <t>Business Continuity</t>
  </si>
  <si>
    <t>Compromissione dell'integrità e della continuità operativa di persone, asset infrastrutturali e/o tecnologici aziendali per un evento non direttamente collegato all’attività dell’Azienda.</t>
  </si>
  <si>
    <t>Comunicazione e relazioni</t>
  </si>
  <si>
    <t>Criticità o mancanza di trasparenza nelle modalità di comunicazione degli operatori con i pazienti, caregiver o familiari, prima, durante e dopo l’esecuzione dei servizi sanitari. Mancata o inadeguata comunicazione interna tra operatori e i criticità relative all'accesso alle informazioni e alle comunicazioni tra management e operatori sanitari.</t>
  </si>
  <si>
    <t>Continuità e coordinamento percorsi assistenziali</t>
  </si>
  <si>
    <t>Carenze nella definizione dei percorsi assistenziali e nelle attività di presa in carico dei bisogni assistenziali. Inefficaci o incompleti meccanismi di coordinamento tra operatori sanitari che possono pregiudicare la continuità delle cure e la qualità dell’assistenza.</t>
  </si>
  <si>
    <t>Edifici e spazi comuni</t>
  </si>
  <si>
    <t>Ogni fatto o circostanza che arreca danni a persone o cose in vari ambiti (es. ascensore, scale, corridoi, parcheggi, spazi esterni alle strutture sanitarie).</t>
  </si>
  <si>
    <t>Malfunzionamenti dovuto a problemi tecnici di fabbricazione (non causati dall’utilizzatore), malfunzionamenti dovuto all’utilizzatore (manutenzione, impostazione, altri errori d’uso), uso in condizioni non appropriate, manutenzione inadeguata, istruzioni inadeguate, pulizia non corretta, utilizzo oltre i limiti di durata previsti delle apparecchiature sanitarie.</t>
  </si>
  <si>
    <t>Ogni inesattezza, incompletezza od omissione riconducibile alle fasi logistiche ed operative che assicurano l’approvvigionamento, la conservazione e la disponibilità di farmaci e dispositivi medici.</t>
  </si>
  <si>
    <t>Illeciti interni</t>
  </si>
  <si>
    <t>Qualunque azione, al di fuori dell’ambito della sicurezza dei dati e delle informazioni, nella quale un dipendente sottragga o si appropri di beni aziendali o, in alternativa, commetta atti rivolti ad arrecare un danno all’azienda.</t>
  </si>
  <si>
    <t>Persone e cultura</t>
  </si>
  <si>
    <t>Criticità derivanti dal mancato allineamento tra ruoli e personale dipendente. Scarsa diffusione e conoscenza della cultura e dei valori aziendali. Inefficacia dei programmi formativi.</t>
  </si>
  <si>
    <t>Informativa e reporting</t>
  </si>
  <si>
    <t xml:space="preserve">Carenze dei contenuti o nella gestione dei flussi informativi interni ed esterni che possono generare errori di programmazione o sanzioni per tardiva comunicazione. </t>
  </si>
  <si>
    <t>Informativa strategica / di programmazione</t>
  </si>
  <si>
    <t>Carenza o inesattezza delle informazioni del contesto interno e/o esterno che possono influire negativamente sulla programmazione.</t>
  </si>
  <si>
    <t>Misurazione delle performance</t>
  </si>
  <si>
    <t>Ogni inesattezza, incompletezza od omissione riconducibile alle attività e ai processi di misurazione delle performance.</t>
  </si>
  <si>
    <t>Informativa interna ed esterna</t>
  </si>
  <si>
    <t>Flussi informativi non correttamente gestiti in termini di modalità e contenuti.</t>
  </si>
  <si>
    <t>Salute, sicurezza e ambientale</t>
  </si>
  <si>
    <t>Infortuni, lesioni o malattie professionali ai danni del personale dipendente, inclusi l’esposizione a fattori di rischio (es. radiazioni) e gli agiti aggressivi fisici o verbali. Eventi/circostanze di responsabilità aziendale che generano un impatto negativo sull’ambiente.</t>
  </si>
  <si>
    <t>Atti di violenza su operatori</t>
  </si>
  <si>
    <t>Aggressioni fisiche o verbali a danno degli operatori delle strutture sanitarie.</t>
  </si>
  <si>
    <t>Rischio biologico</t>
  </si>
  <si>
    <t>Ogni evento dannoso per la salute dei lavoratori derivante da microrganismi, anche geneticamente modificati. Ferite da taglio e da punta con oggetti contaminati da materiale biologico.</t>
  </si>
  <si>
    <t>Rischio chimico</t>
  </si>
  <si>
    <t>Ogni evento dannoso per la salute dei lavoratori derivante dall’utilizzo o dal contatto con sostanze pericolose e dallo sversamento/spandimento di sostanze chimiche pericolose. Comprende il contatto con sostanze cancerogene e mutagene, amianto e gas anestetici.</t>
  </si>
  <si>
    <t>Rischio fisico</t>
  </si>
  <si>
    <t xml:space="preserve">Eventi dannosi per la salute dei lavoratori derivanti da agenti fisici: rumore, ultrasuoni, infrasuoni, vibrazioni, campi elettromagnetici, radiazioni ottiche di origine artificiale, microclima e atmosfera iperbariche. </t>
  </si>
  <si>
    <t>Rischio da atmosfera esplosiva</t>
  </si>
  <si>
    <t>Esplosioni causate da materiali infiammabili o instabili (es. gas, vapori, polveri)</t>
  </si>
  <si>
    <t>Rischio incendio</t>
  </si>
  <si>
    <t xml:space="preserve">Combustione non controllata che si sviluppa senza limitazioni nello spazio e nel tempo dando luogo a calore, fumo, gas e luce. </t>
  </si>
  <si>
    <t>Rischio da infortuni generici</t>
  </si>
  <si>
    <t xml:space="preserve">Ogni evento dannoso per la salute dei lavoratori connesso all’ambiente di lavoro e all’utilizzo di attrezzature (es. urto, schiacciamento, trauma muscolo-scheletrico, ferite da taglio con oggetti sterili, cadute, rischio elettrico). </t>
  </si>
  <si>
    <t>Rischio da movimentazione di carichi e pazienti</t>
  </si>
  <si>
    <t>Ogni evento dannoso per la salute dei lavoratori derivante dalla movimentazione manuale dei carichi e dei pazienti.</t>
  </si>
  <si>
    <t>Rischio radiazioni</t>
  </si>
  <si>
    <t>Ogni evento dannoso per la salute dei lavoratori derivante dall’esposizione a radiazioni ionizzanti e non ionizzanti.</t>
  </si>
  <si>
    <t>Rischio sociale</t>
  </si>
  <si>
    <t>Frequenza e numero di persone soggette ad un certo livello di danno a seguito di uno specifico evento incidentale</t>
  </si>
  <si>
    <t>Rischio stress lavoro correlato</t>
  </si>
  <si>
    <t>Percezione di squilibrio percepita dal lavoratore tra le richieste dell’ambiente lavorativo e le capacità individuali di risposta.</t>
  </si>
  <si>
    <t>Rischio da videoterminale</t>
  </si>
  <si>
    <t>Ogni evento dannoso per la salute dei lavoratori derivante dall’esposizione prolungata ai videoterminali.</t>
  </si>
  <si>
    <t>COMPLIANCE
(Rischi legati a modifiche della legislazione in materia e alla non conformità con le normative applicabili)</t>
  </si>
  <si>
    <t>Violazioni della Legge 190/12.</t>
  </si>
  <si>
    <t>Violazione del Codice etico in vigore presso l’Azienda.</t>
  </si>
  <si>
    <t>Inesattezze, errori ed omissioni commessi nelle attività e nei processi di gestione dei contratti, degli appalti e delle controversie legali.</t>
  </si>
  <si>
    <t>Violazione di norme imperative di legge previste a livello regionale, nazionale e comunitario, ad eccezione della Legge 190/12 e della normativa privacy e sicurezza delle informazioni.</t>
  </si>
  <si>
    <t>Violazione dei regolamenti aziendali.</t>
  </si>
  <si>
    <t>Ogni circostanza di violazione della privacy o sicurezza della documentazione e delle informazioni gestite dalla struttura non riconducibili ad attacchi informatici. Inesattezze, incompletezze od omissioni nel trattamento dei dati.</t>
  </si>
  <si>
    <t>Metriche di valutazione</t>
  </si>
  <si>
    <t>IMPATTO</t>
  </si>
  <si>
    <t>SCALA</t>
  </si>
  <si>
    <t>VALUTAZIONE</t>
  </si>
  <si>
    <t>DESCRIZIONE</t>
  </si>
  <si>
    <t>Immagine e reputazione</t>
  </si>
  <si>
    <t>Compliance normativa</t>
  </si>
  <si>
    <t>Salute e sicurezza</t>
  </si>
  <si>
    <t>Catastrofico</t>
  </si>
  <si>
    <t>L'impatto sugli obiettivi aziendali e sulla gestione comporta una significativa ed estesa revisione delle strategie con un coinvolgimento straordinario di amministratori e del top management</t>
  </si>
  <si>
    <t>- Reputazione danneggiata a livello nazionale e/o internazionale
- Reputazione danneggiata non risolvibile temporalmente
- Notizie sui media nazionali e/o internazionali con esposizione mediatica di lungo periodo</t>
  </si>
  <si>
    <t>- Non ottemperanza di rilevante entità ad obblighi di natura contrattuale/normativa con restrizioni rilevanti per l’azienda (es. commissariamento o sanzioni interdittive che incidono sulla continuità aziendale) 
- Commissione di un reato che prevede la reclusione superiore a 2 anni</t>
  </si>
  <si>
    <t>- Impatto con significativi danni ambientali gravi e persistenti all'esterno del sito
- Superamenti ingenti e sistematici di norme o limiti prescrittivi</t>
  </si>
  <si>
    <t>Personale/popolazione:
- Infortunio mortale multiplo
- Malattia professionale di più persone
- Incidente che ha causato invalidità permanente/morte di una o più persone esterne al sito
Pazienti:
- L'evento comporta il decesso di uno o più pazienti</t>
  </si>
  <si>
    <t>- Impatto sugli obiettivi aziendali
- Gestione richiede coinvolgimento straordinario del top management, degli amministratori ed un utilizzo straordinario di risorse aggiuntive
- Gestione comporta una significativa ed estesa revisione delle strategie
- Non risolvibile entro l’anno</t>
  </si>
  <si>
    <t>Rilevante</t>
  </si>
  <si>
    <t>L'impatto sugli obiettivi aziendali e sulla gestione comporta una contenuta e mirata revisione delle strategie con un coinvolgimento mirato di amministratori e del top management</t>
  </si>
  <si>
    <t>- Reputazione danneggiata a livello nazionale e/o internazionale
- Reputazione danneggiata risolvibile in massimo 1 mese
- Notizie sui media nazionali e/o internazionali con esposizione mediatica di medio periodo</t>
  </si>
  <si>
    <t>- Non ottemperanza di significativa entità ad obblighi di natura contrattuale / normativa con restrizioni significative dell'operatività per l’azienda 
- Sanzioni amministrative /  penali / pecuniarie di significativa entità 
- Commissione di un reato che prevede la reclusione fino a 2 anni</t>
  </si>
  <si>
    <t>- L'impatto ambientale investe ampie aree interne al sito e aree esterne 
- Superamenti quantitativamente importanti e ripetuti di norme o limiti prescrittivi</t>
  </si>
  <si>
    <t>Personale/popolazione:
- Un infortunio con invalidità permanente / un morto
- Un incidente che ha causato lesioni fisiche alla popolazione esterna al sito
Pazienti:
- L'evento comporta l'invalidità permanente o il rischio di morte (es. shock, arresto cardiaco)</t>
  </si>
  <si>
    <t>- Impatto sugli obiettivi aziendali
- Gestione richiede un coinvolgimento notevole del top management, degli amministratori ed un utilizzo massivo di risorse aggiuntive
- Gestione comporta una revisione mirata delle strategie
- Risolvibile entro l’anno</t>
  </si>
  <si>
    <t>Significativo</t>
  </si>
  <si>
    <t>L'impatto sugli obiettivi aziendali e sulla gestione richiede un coinvolgimento del top management significativo per essere risolto</t>
  </si>
  <si>
    <t>- Reputazione danneggiata a livello nazionale
- Reputazione danneggiata  risolvibile in massimo 15 giorni
- Notizie sui media nazionali con esposizione mediatica di breve periodo</t>
  </si>
  <si>
    <t>- Non ottemperanza di media entità ad obblighi di natura contrattuale/normativa 
- Sanzioni amministrative / penali / pecuniarie di modesta entità</t>
  </si>
  <si>
    <t>- L'impatto ambientale investe, oltre ad aree interne al sito, anche aree esterne circostanti
- Superamenti multipli di norme o limiti prescrittivi</t>
  </si>
  <si>
    <t>Personale/popolazione:
- 1 o più infortuni con prognosi superiore a 40 giorni
Pazienti:
- L'evento comporta una invalidità temporanea; prolungamento della degenza &gt; 1 mese</t>
  </si>
  <si>
    <t>- Impatto sugli obiettivi aziendali
- Gestione richiede un coinvolgimento del top management ed utilizzo di risorse aggiuntive
- Risolvibile in un mese</t>
  </si>
  <si>
    <t>Contenuto</t>
  </si>
  <si>
    <t>L'impatto sugli obiettivi aziendali e sulla gestione richiede un impegno del top management per minimizzarlo</t>
  </si>
  <si>
    <t>- Reputazione danneggiata a livello nazionale
- Reputazione danneggiata risolvibile in massimo 7 giorni
- Notizie spot su media nazionali</t>
  </si>
  <si>
    <t>- Non ottemperanza di modesta entità ad obblighi di natura contrattuale/normativa 
- Sanzioni amministrative / penali / pecuniarie di moderata entità</t>
  </si>
  <si>
    <t>- L'impatto ambientale investe trasversalmente il sito nel suo complesso pur rimanendo su area localizzata
- Singolo superamento di norme o limiti prescrittivi</t>
  </si>
  <si>
    <t>Personale/popolazione:
- 1 o più infortuni con prognosi inferiore a 40 giorni
Pazienti:
- L'evento comporta un danno temporaneo; prolungamento della degenza &lt; 1 mese</t>
  </si>
  <si>
    <t>- Impatto sugli obiettivi aziendali
- Gestione richiede limitato impegno del top management e limitato utilizzo di risorse
- Risolvibile in una settimana</t>
  </si>
  <si>
    <t>Trascurabile</t>
  </si>
  <si>
    <t>L'impatto sugli obiettivi aziendali e sulla gestione può essere assorbito attraverso la normale attività</t>
  </si>
  <si>
    <t>- Reputazione danneggiata a livello locale/regionale
- Reputazione danneggiata risolvibile in massimo 3 giorni
- Notizie spot su media locali</t>
  </si>
  <si>
    <t>- Non ottemperanza di lieve entità ad obblighi di natura contrattuale/normativa
- Sanzioni amministrative / penali / pecuniarie di trascurabile entità</t>
  </si>
  <si>
    <t>- Impatto ambientale temporaneo circoscritto a spazi o aree specifiche interne al sito in area non sensibile
- Nessun superamento di norme o limiti prescrittivi</t>
  </si>
  <si>
    <t>Personale/popolazione:
- Lievi infortuni nel corso dello svolgimento delle attività quotidiane
Pazienti:
- L'evento non comporta danni di rilievo; rende necessario un maggior monitoraggio</t>
  </si>
  <si>
    <t>- Impatto sugli obiettivi aziendali
- Gestione assorbita attraverso la normale attività, senza l’utilizzo di ulteriori risorse
- Risolvibile in giornata</t>
  </si>
  <si>
    <t>IMPATTO ECONOMICO</t>
  </si>
  <si>
    <t>CLUSTER A</t>
  </si>
  <si>
    <t>CLUSTER B</t>
  </si>
  <si>
    <t>CLUSTER C</t>
  </si>
  <si>
    <t>ASST</t>
  </si>
  <si>
    <t>•&lt; 0,02% ricavi totali</t>
  </si>
  <si>
    <t>•&lt; 0,015% ricavi totali</t>
  </si>
  <si>
    <t>•&lt; 0,01% ricavi totali</t>
  </si>
  <si>
    <t xml:space="preserve">•0,02-0,25% ricavi totali </t>
  </si>
  <si>
    <t xml:space="preserve">•0,015-0,18% ricavi totali </t>
  </si>
  <si>
    <t xml:space="preserve">•0,01-0,13% ricavi totali </t>
  </si>
  <si>
    <t>•0,25-2,5% ricavi totali</t>
  </si>
  <si>
    <t>•0,18-1,8% ricavi totali</t>
  </si>
  <si>
    <t>•0,13-1,3% ricavi totali</t>
  </si>
  <si>
    <t>•2,5-5% ricavi totali</t>
  </si>
  <si>
    <t>•1,8-3,6% ricavi totali</t>
  </si>
  <si>
    <t>•1,3-2,6% ricavi totali</t>
  </si>
  <si>
    <t>Estremo</t>
  </si>
  <si>
    <t>•&gt;5% ricavi totali</t>
  </si>
  <si>
    <t>•&gt;3,6% ricavi totali</t>
  </si>
  <si>
    <t>•&gt;2,6% ricavi totali</t>
  </si>
  <si>
    <t>ATS</t>
  </si>
  <si>
    <t>•&lt;0,01% ricavi totali</t>
  </si>
  <si>
    <t xml:space="preserve">•0,02-0,3% ricavi totali </t>
  </si>
  <si>
    <t>•0,01-0,2% ricavi totali</t>
  </si>
  <si>
    <t>•0,01-0,15% ricavi totali</t>
  </si>
  <si>
    <t>•0,3-3,5% ricavi totali</t>
  </si>
  <si>
    <t>•0,2-2% ricavi totali</t>
  </si>
  <si>
    <t>•0,15-1% ricavi totali</t>
  </si>
  <si>
    <t>•3,5-7% ricavi totali</t>
  </si>
  <si>
    <t>•2-4% ricavi totali</t>
  </si>
  <si>
    <t>•1-2% ricavi totali</t>
  </si>
  <si>
    <t>•&gt;7% ricavi totali</t>
  </si>
  <si>
    <t>•&gt;4% ricavi totali</t>
  </si>
  <si>
    <t>•&gt;2% ricavi totali</t>
  </si>
  <si>
    <t>IRCCS</t>
  </si>
  <si>
    <t>•&lt; 0,03% ricavi totali</t>
  </si>
  <si>
    <t xml:space="preserve">•0,03-0,2% ricavi totali </t>
  </si>
  <si>
    <t xml:space="preserve">•0,02-0,18% ricavi totali </t>
  </si>
  <si>
    <t xml:space="preserve">•0,01-0,1% ricavi totali </t>
  </si>
  <si>
    <t>•0,18-1,5% ricavi totali</t>
  </si>
  <si>
    <t>•0,1-1,2% ricavi totali</t>
  </si>
  <si>
    <t>•1,5-3% ricavi totali</t>
  </si>
  <si>
    <t>•1,2-2,4% ricavi totali</t>
  </si>
  <si>
    <t>•&gt;3% ricavi totali</t>
  </si>
  <si>
    <t>•&gt;2,4% ricavi totali</t>
  </si>
  <si>
    <t>PROBABILITA'</t>
  </si>
  <si>
    <t>CONTROLLI</t>
  </si>
  <si>
    <t>INDICE DI PROBABILITA'</t>
  </si>
  <si>
    <t>PROBABILITA' DELL'EVENTO</t>
  </si>
  <si>
    <t>Fattore di riduzione</t>
  </si>
  <si>
    <t>Molto probabile</t>
  </si>
  <si>
    <t xml:space="preserve"> - Probabilità ≥ 50%
- Evento atteso almeno una volta all'anno
- Evento quasi certo
- Si prevede che l’evento possa verificarsi nel breve termine
- L'evento si è verificato negli ultimi mesi</t>
  </si>
  <si>
    <t>Controllo che opera nel suo complesso in modo efficace ed efficiente assicurando il monitoraggio e il contenimento dei rischi</t>
  </si>
  <si>
    <t>Probabile</t>
  </si>
  <si>
    <t>- Probabilità compresa fra il 25% ≤ x ≤ 50% 
- Evento atteso una volta ogni 2/3 anni
- Evento molto verosimile
- Si prevede che l’evento possa verificarsi nel breve / medio termine
- L'evento si è verificato negli ultimi 12 mesi</t>
  </si>
  <si>
    <t>Controllo che opera nel suo complesso in modo efficace ed efficiente ma che presenta circosritte carenze con lieve esposizione al rischio</t>
  </si>
  <si>
    <t>Moderatamente probabile</t>
  </si>
  <si>
    <t>- Probabilità 10% ≤ x ≤ 25% 
- Evento atteso una volta ogni 4/10 anni
- Evento verosimile 
- Si prevede che l’evento possa verificarsi nel medio termine
- L'evento si è verificato negli ultimi 3 anni</t>
  </si>
  <si>
    <t>Controllo con carenze localizzate con esposizione lieve al rischio o per il quale è in essere un intervento correttivo / di mitigazione in fase di conclusione (es. procedura in corso di approvazione)</t>
  </si>
  <si>
    <t>Poco probabile</t>
  </si>
  <si>
    <t>- Probabilità 5% ≤ x ≤ 10% 
 - Evento atteso una volta ogni 10/20 anni
- Evento poco verosimile
- Si prevede che l’evento possa verificarsi nel medio/lungo termine
- L'evento si è verificato negli ultimi 5 anni</t>
  </si>
  <si>
    <t>Controllo che presenta significative carenze e con esposizione elevata al rischio</t>
  </si>
  <si>
    <t>Improbabile</t>
  </si>
  <si>
    <t>- Probabilità ≤ 5%
- Evento atteso una volta ogni 20 anni o di più
- Evento molto poco verosimile
- Si prevede che l'evento possa verificarsi nel lungo termine
- L'evento non si è mai verificato nel passato o si è verificato una sola volta negli ultimi 10 anni</t>
  </si>
  <si>
    <t>Assenza totale di elementi di controllo, o che presenta gravi criticità, con una esposizione alta al rischio</t>
  </si>
  <si>
    <t>Ruolo</t>
  </si>
  <si>
    <t>Short</t>
  </si>
  <si>
    <t>Categoria Rischio</t>
  </si>
  <si>
    <t>Impatto</t>
  </si>
  <si>
    <t>Probabilità</t>
  </si>
  <si>
    <t>Valutazione Controllo</t>
  </si>
  <si>
    <t>Categoria Rischio Liv. 3</t>
  </si>
  <si>
    <t>Ufficio Relazioni con il Pubblico</t>
  </si>
  <si>
    <t>URP</t>
  </si>
  <si>
    <t>Rischio Clinico-Sanitario</t>
  </si>
  <si>
    <t>SANIT</t>
  </si>
  <si>
    <t>Rischio Clinico_Sanitario</t>
  </si>
  <si>
    <t>Bilancio e Rendicontazione</t>
  </si>
  <si>
    <t>BIL</t>
  </si>
  <si>
    <t>Rischio Esterno</t>
  </si>
  <si>
    <t>EST</t>
  </si>
  <si>
    <t>Gestione Acquisti (provveditorato-economato)</t>
  </si>
  <si>
    <t>ACQ</t>
  </si>
  <si>
    <t>Rischio Finanziario</t>
  </si>
  <si>
    <t>FIN</t>
  </si>
  <si>
    <t>Sistemi Informativi Aziendali</t>
  </si>
  <si>
    <t>SIA</t>
  </si>
  <si>
    <t>Rischio Strategico</t>
  </si>
  <si>
    <t>STR</t>
  </si>
  <si>
    <t>Ingegneria Clinica</t>
  </si>
  <si>
    <t>ING</t>
  </si>
  <si>
    <t>Rischio Operativo</t>
  </si>
  <si>
    <t>OPE</t>
  </si>
  <si>
    <t>Farmacia</t>
  </si>
  <si>
    <t>FAR</t>
  </si>
  <si>
    <t>Rischio di Compliance</t>
  </si>
  <si>
    <t>COMP</t>
  </si>
  <si>
    <t>Ricerca scientifica e sperimentazioni cliniche</t>
  </si>
  <si>
    <t>RIC</t>
  </si>
  <si>
    <t>Affari Generali e Legali</t>
  </si>
  <si>
    <t>AFF.GEN</t>
  </si>
  <si>
    <t>Gestione delle Risorse Umane</t>
  </si>
  <si>
    <t>HR</t>
  </si>
  <si>
    <t>Ufficio Tecnico Patrimoniale</t>
  </si>
  <si>
    <t>UFF.TEC</t>
  </si>
  <si>
    <t>Qualità, Risk Management e Internal Auditing</t>
  </si>
  <si>
    <t>QRM</t>
  </si>
  <si>
    <t>Sanità pubblica veterinaria</t>
  </si>
  <si>
    <t>VET</t>
  </si>
  <si>
    <t>SC Unità di Epidemiologia</t>
  </si>
  <si>
    <t>EPIDEM</t>
  </si>
  <si>
    <t>Medicina preventiva di comunità - screening</t>
  </si>
  <si>
    <t>SCREENING</t>
  </si>
  <si>
    <t>Gestione Operativa</t>
  </si>
  <si>
    <t>GEST.OP</t>
  </si>
  <si>
    <t>Dipartimento Igiene e Prevenzione Sanitaria</t>
  </si>
  <si>
    <t>IGIENE</t>
  </si>
  <si>
    <t>Eventi naturali o accidentali</t>
  </si>
  <si>
    <t>Controllo di gestione</t>
  </si>
  <si>
    <t>C.GEST</t>
  </si>
  <si>
    <t>Trasporto STAM/STEN</t>
  </si>
  <si>
    <t>STAM/STEN</t>
  </si>
  <si>
    <t>Gestione parco veicoli</t>
  </si>
  <si>
    <t>VEICOLI</t>
  </si>
  <si>
    <t>Telemedicina</t>
  </si>
  <si>
    <t>TELEM</t>
  </si>
  <si>
    <t>Fisica Sanitaria</t>
  </si>
  <si>
    <t>F.SANIT</t>
  </si>
  <si>
    <t>Gestione del servizio prevenzione e protezione</t>
  </si>
  <si>
    <t>SPP</t>
  </si>
  <si>
    <t>Attività di comunicazione aziendale e relazioni esterne</t>
  </si>
  <si>
    <t>COMUNIC</t>
  </si>
  <si>
    <t>Percorso Attuativo della Certificabilità</t>
  </si>
  <si>
    <t>PAC</t>
  </si>
  <si>
    <t>Si veda tabella seguente</t>
  </si>
  <si>
    <t>Salute sicurezza e ambiente</t>
  </si>
  <si>
    <t>RISK REGISTER - PAC AREA D IMMOBILIZZAZIONI</t>
  </si>
  <si>
    <t>PAC_D_01</t>
  </si>
  <si>
    <t>Direzione Sanitaria</t>
  </si>
  <si>
    <t>Direttore Ingegneria Clinica</t>
  </si>
  <si>
    <t>PAC Area D - Immobilizzazioni / Ingegneria Clinica</t>
  </si>
  <si>
    <t>Errata o incompleta ricezione, presa in carico e registrazione dei beni in ingresso.</t>
  </si>
  <si>
    <t>Processi:
- DDT, ordine e bolla di carico non riconciliati
- Mancata registrazione o registrazione tardiva in NFS
- Consegna diretta al reparto senza completa trasmissione documentale
Persone:
- Mancata segnalazione di anomalie o difformità alla consegna
Fattori esterni:
- Consegne urgenti o apparecchiature ingombranti con iter logistico speciale
Strumenti:
-</t>
  </si>
  <si>
    <t>Economiche: Errata rappresentazione del patrimonio e possibili extra costi per contestazioni tardive
Danno d'immagine: Rilievi in sede PAC/audit
Salute e sicurezza: Rischio indiretto per utilizzo di bene non completamente verificato
Compliance normativa: Non conformità a procedura di ricevimento e presa in carico
Gestionale - Operativo: Ritardo in inventariazione, collaudo e disponibilità operativa
Ambiente: -</t>
  </si>
  <si>
    <t>Il rischio incide sulla completezza del ciclo cespiti e sulla tracciabilità documentale DDT-ordine-carico; i controlli di magazzino e IC riducono l'esposizione.</t>
  </si>
  <si>
    <t>Regolarizzazione della documentazione di consegna; contestazione al fornitore; riallineamento del carico NFS e blocco temporaneo dell'iter di collaudo se necessario.</t>
  </si>
  <si>
    <t>Verifica DDT e integrità imballo; registrazione carico in NFS; invio copia DDT/carico/ordine e coordinamento tra Magazzino, Approvvigionamenti e Ingegneria Clinica.</t>
  </si>
  <si>
    <t>PAC_D_02</t>
  </si>
  <si>
    <t>Mancata, incompleta o errata iscrizione a libro cespiti delle apparecchiature elettromedicali di proprietà.</t>
  </si>
  <si>
    <t>Processi:
- Mancata ricezione di DDT, carico o fotocopia etichetta
- Dati anagrafici tecnici/organizzativi incompleti
- Mancato collegamento tra scheda cespite e fonte di finanziamento
Persone:
- Errori di data entry o controlli non tempestivi
Fattori esterni:
-
Strumenti:
- Anagrafica NFS incompleta o non aggiornata</t>
  </si>
  <si>
    <t>Economiche: Errore nel valore del patrimonio e negli ammortamenti
Danno d'immagine: Possibili rilievi PAC o revisori
Salute e sicurezza: Rischio indiretto per mancata correlazione a manutenzione/collaudo
Compliance normativa: Non conformità a DGR PAC Area D e procedure interne
Gestionale - Operativo: Disallineamento tra inventario fisico, tecnico e libro cespiti
Ambiente: -</t>
  </si>
  <si>
    <t>Il libro cespiti è presidio centrale PAC; impatto economico/compliance significativo in caso di incompletezza.</t>
  </si>
  <si>
    <t>Rettifica anagrafica cespite; riconciliazione con DDT, ordine, bolla di carico, etichetta e verbale di collaudo.</t>
  </si>
  <si>
    <t>Doppia inventariazione tecnica/patrimoniale; invio documenti da Magazzino/Approvvigionamenti; abbinamento bolla-fattura e controlli su anagrafica cespite.</t>
  </si>
  <si>
    <t>PAC_D_03</t>
  </si>
  <si>
    <t>Errata gestione dei beni di terzi acquisiti in comodato, service, noleggio o leasing.</t>
  </si>
  <si>
    <t>Processi:
- Mancata registrazione dei beni di terzi nel libro inventari
- Classificazione errata come bene ammortizzabile
- Iter deliberativo di comodato/service/noleggio non concluso prima della presa in carico
Persone:
- Comunicazioni incomplete tra Approvvigionamenti, Ingegneria Clinica e UO utilizzatrice
Fattori esterni:
- Contratti o service complessi con sostituzioni temporanee o apparecchiature multiple
Strumenti:
-</t>
  </si>
  <si>
    <t>Economiche: Errata rappresentazione patrimoniale e possibili costi non previsti
Danno d'immagine: Rilievi in audit o da terzi proprietari
Salute e sicurezza: Rischio indiretto se bene non correttamente censito per manutenzione/collaudo
Compliance normativa: Non conformità agli obblighi contrattuali e inventariali
Gestionale - Operativo: Difficoltà di tracciabilità, restituzione o dismissione
Ambiente: -</t>
  </si>
  <si>
    <t>Rischio PAC specifico per corretta separazione tra beni propri e di terzi; impatto principale compliance/gestionale.</t>
  </si>
  <si>
    <t>Rettifica classificazione; aggiornamento libro inventari e fascicolo tecnico; verifica contratto/atto di comodato/service/noleggio.</t>
  </si>
  <si>
    <t>Accettazione fisica e contabile gestita da Approvvigionamenti; registrazione come bene non soggetto ad ammortamento; censimento tecnico da Global Service/Ingegneria Clinica.</t>
  </si>
  <si>
    <t>PAC_D_04</t>
  </si>
  <si>
    <t>Errata valorizzazione iniziale del cespite, inclusi oneri accessori, trasporto, IVA non detraibile o valore di donazione.</t>
  </si>
  <si>
    <t>Processi:
- Costi accessori non comunicati o non inclusi
- Valutazione donazione basata su documentazione incompleta
- Informazioni tecniche aggiuntive non fornite all'inventario patrimoniale
Persone:
- Errori di interpretazione tra ordine, fattura e documenti di donazione
Fattori esterni:
-
Strumenti:
- Scheda cespite non integrata con tutte le componenti di costo</t>
  </si>
  <si>
    <t>Economiche: Sovra/sottostima del valore iniziale e degli ammortamenti
Danno d'immagine: Rilievi PAC/revisori
Salute e sicurezza: Possibile ritardo in accettazione donazione per verifica conformità
Compliance normativa: Non conformità a principi contabili e procedure Area D
Gestionale - Operativo: Necessità di rettifiche e ricostruzioni documentali
Ambiente: -</t>
  </si>
  <si>
    <t>L'impatto economico è significativo perché il valore iniziale condiziona patrimonio, ammortamenti e sterilizzazioni.</t>
  </si>
  <si>
    <t>Rettifica del valore cespite e della documentazione di supporto; riallineamento con fattura/ordine/stima del donante.</t>
  </si>
  <si>
    <t>Valorizzazione definita da Approvvigionamenti; collaborazione propositiva di Ingegneria Clinica su informazioni non desumibili dall'ordine; controlli su fatture e stime documentate.</t>
  </si>
  <si>
    <t>PAC_D_05</t>
  </si>
  <si>
    <t>Mancata o errata registrazione della data di collaudo con riflessi sulla decorrenza dell'ammortamento.</t>
  </si>
  <si>
    <t>Processi:
- Verbale di collaudo non trasmesso tempestivamente
- Esito collaudo non correttamente formalizzato
- Campo data collaudo in anagrafica cespite incompleto o errato
Persone:
- Mancata comunicazione tra Ingegneria Clinica e Approvvigionamenti
Fattori esterni:
- Collaudo sospeso, negativo o condizionato a sanatorie documentali/tecniche
Strumenti:
-</t>
  </si>
  <si>
    <t>Economiche: Ammortamento avviato in periodo errato o non avviato
Danno d'immagine: Rilievi su cut-off e correttezza contabile
Salute e sicurezza: Possibile utilizzo senza completa presa in consegna/addestramento
Compliance normativa: Non conformità a procedura PO 595 e criteri contabili
Gestionale - Operativo: Ritardi in messa in servizio o in chiusura pratica
Ambiente: -</t>
  </si>
  <si>
    <t>Il periodo di ammortamento decorre dall'esito positivo del collaudo; il rischio è quindi rilevante per cut-off contabile.</t>
  </si>
  <si>
    <t>Rettifica data collaudo in NFS; recupero verbale firmato; verifica eventuale sospensione/ritardo e allineamento ammortamenti.</t>
  </si>
  <si>
    <t>Verbale di collaudo sottoscritto e trasmesso ad Approvvigionamenti; registrazione degli estremi del collaudo in anagrafica cespite.</t>
  </si>
  <si>
    <t>PAC_D_06</t>
  </si>
  <si>
    <t>Errato calcolo o applicazione delle aliquote di ammortamento e delle sterilizzazioni.</t>
  </si>
  <si>
    <t>Processi:
- Aliquota non coerente con classificazione cespite
- Mancato aggiornamento della tabella ammortamenti/sterilizzazioni
- Controlli trimestrali non efficaci
Persone:
- Errori di configurazione o verifica contabile
Fattori esterni:
-
Strumenti:
- Piattaforma NFS - Dedalus con dati anagrafici non corretti</t>
  </si>
  <si>
    <t>Economiche: Errore in ammortamenti, sterilizzazioni, conto economico e valore netto contabile
Danno d'immagine: Rilievi da revisori, audit e PAC
Salute e sicurezza: -
Compliance normativa: Non conformità al D.Lgs 118/2011 e indicazioni regionali
Gestionale - Operativo: Rettifiche contabili e ritardi nella chiusura periodica
Ambiente: -</t>
  </si>
  <si>
    <t>Rischio finanziario diretto; mitigato dal calcolo in piattaforma e verifica trimestrale Economico-Finanziaria.</t>
  </si>
  <si>
    <t>Ricalcolo ammortamenti/sterilizzazioni; rettifica aliquota/classificazione cespite; quadratura con contabilità generale.</t>
  </si>
  <si>
    <t>Calcolo su piattaforma NFS-Dedalus; verifica trimestrale della corrispondenza delle aliquote e allineamento con anagrafica cespiti.</t>
  </si>
  <si>
    <t>PAC_D_07</t>
  </si>
  <si>
    <t>Errata gestione contabile degli incrementi di valore, manutenzioni straordinarie e cespiti modulari.</t>
  </si>
  <si>
    <t>Processi:
- Intervento capitalizzabile trattato come costo o viceversa
- Incremento non collegato al cespite padre
- Piano di ammortamento dell'incremento non coerente con vita utile residua
Persone:
- Mancata indicazione tecnica da Ingegneria Clinica su natura e vita utile dell'intervento
Fattori esterni:
-
Strumenti:
- Anagrafica cespite priva di dettaglio separato per incremento</t>
  </si>
  <si>
    <t>Economiche: Errore nel valore del cespite e nel piano ammortamento
Danno d'immagine: Rilievi PAC/revisori
Salute e sicurezza: -
Compliance normativa: Non conformità a principi contabili e procedure interne
Gestionale - Operativo: Disallineamento tra configurazione tecnica e patrimoniale
Ambiente: -</t>
  </si>
  <si>
    <t>Gli incrementi hanno impatto su capitale investito e ammortamenti; rischio significativo se non tracciati separatamente.</t>
  </si>
  <si>
    <t>Riclassifica contabile; caricamento incremento sul cespite padre; rimodulazione ammortamento se non prolunga vita utile.</t>
  </si>
  <si>
    <t>Valutazione tecnica preventiva; separata identificazione del valore iniziale e degli incrementi; comunicazione tra IC, Approvvigionamenti ed Economico-Finanziaria.</t>
  </si>
  <si>
    <t>PAC_D_08</t>
  </si>
  <si>
    <t>Mancata tracciabilità di trasferimenti, ubicazione e consegnatari/sub-consegnatari dei beni.</t>
  </si>
  <si>
    <t>Processi:
- Richieste di trasferimento prive di inventari tecnici/patrimoniali
- Mancata comunicazione del trasferimento ad Approvvigionamenti
- Database tecnico e anagrafica cespiti non aggiornati
Persone:
- Mancato coordinamento tra consegnatario cedente, nuovo consegnatario e Ingegneria Clinica
Fattori esterni:
- Movimentazioni occasionali di apparecchiature complesse o ingombranti
Strumenti:
-</t>
  </si>
  <si>
    <t>Economiche: Costi per rintraccio, rettifica inventariale o danneggiamenti
Danno d'immagine: Rilievi su responsabilità dei consegnatari
Salute e sicurezza: Rischio indiretto per manutenzione o addestramento non correttamente associati al reparto
Compliance normativa: Non conformità a obblighi inventariali
Gestionale - Operativo: Difficoltà di ricognizione fisica e monitoraggio del bene
Ambiente: -</t>
  </si>
  <si>
    <t>La tracciabilità del consegnatario è un controllo chiave del PAC e della gestione tecnica; impatto massimo gestionale/compliance.</t>
  </si>
  <si>
    <t>Aggiornamento retroattivo ubicazione/consegnatario; riconciliazione inventari; formalizzazione del trasferimento e del relativo verbale.</t>
  </si>
  <si>
    <t>Richiesta motivata con numeri inventario; verifica fattibilità e supervisione IC; comunicazione ad Approvvigionamenti e aggiornamento del database tecnico.</t>
  </si>
  <si>
    <t>PAC_D_09</t>
  </si>
  <si>
    <t>Errata o tardiva dismissione dal libro cespiti e mancato allineamento con dismissione tecnica/fuori uso.</t>
  </si>
  <si>
    <t>Processi:
- Proposta di fuori uso non trasmessa o non recepita
- Mancata verifica di stato d'uso, valore residuo e ubicazione
- Atto di dismissione non predisposto nei tempi
Persone:
- Mancata comunicazione tra Global Service, Ingegneria Clinica, UO assegnataria e Approvvigionamenti
Fattori esterni:
-
Strumenti:
- Software tecnico e libro cespiti non allineati</t>
  </si>
  <si>
    <t>Economiche: Valore patrimoniale non corretto, ammortamenti indebiti o mancato ricavo da alienazione
Danno d'immagine: Rilievi PAC/revisori
Salute e sicurezza: Rischio di permanenza in uso di bene non sicuro o non conveniente
Compliance normativa: Non conformità al processo di dismissione
Gestionale - Operativo: Inventario non aggiornato e scarsa attendibilità del parco tecnologico
Ambiente: Smaltimento/RAEE non gestito correttamente</t>
  </si>
  <si>
    <t>Rischio importante per completezza del libro cespiti e adeguatezza del patrimonio tecnologico; mitigato da iter di proposta e atto periodico.</t>
  </si>
  <si>
    <t>Accantonamento del bene; proposta di fuori uso; aggiornamento software tecnico; atto di dismissione e allineamento contabilità generale-libro cespiti.</t>
  </si>
  <si>
    <t>Valutazione tecnica motivata da Global Service/IC; aggiornamento libro cespiti su proposta; predisposizione quadrimestrale dell'atto di dismissione e verifiche Economico-Finanziarie.</t>
  </si>
  <si>
    <t>PAC_D_10</t>
  </si>
  <si>
    <t>Inadeguate ricognizioni inventariali periodiche e quadrature tra inventario fisico, tecnico e contabile.</t>
  </si>
  <si>
    <t>Processi:
- Ricognizioni inventariali non pianificate o incomplete
- Assenza di riconciliazione periodica tra database tecnico e libro cespiti
- KPI e report non analizzati
Persone:
- Mancata collaborazione delle UO consegnatarie
Fattori esterni:
-
Strumenti:
- Sistemi informativi non integrati o con dati non allineati</t>
  </si>
  <si>
    <t>Economiche: Differenze inventariali e valori patrimoniali non attendibili
Danno d'immagine: Rilievi PAC e perdita di affidabilità del sistema di controllo interno
Salute e sicurezza: Rischio indiretto per beni non rintracciabili o non manutenuti
Compliance normativa: Non conformità alle procedure di inventario fisico periodico
Gestionale - Operativo: Scarsa visibilità sul parco tecnologico e sulle decisioni di investimento
Ambiente: -</t>
  </si>
  <si>
    <t>La ricognizione periodica è presidio trasversale del PAC Area D; rischio significativo per affidabilità delle immobilizzazioni.</t>
  </si>
  <si>
    <t>Piano di riconciliazione straordinaria; rettifica dati tecnici e patrimoniali; coinvolgimento delle UO per conferma ubicazione/consegna.</t>
  </si>
  <si>
    <t>Consultazione costante del database; estrapolazione di statistiche/indici; ricognizioni periodiche da Approvvigionamenti e controlli accessibili alle UO.</t>
  </si>
  <si>
    <t>PAC_D_11</t>
  </si>
  <si>
    <t>Incompleta conservazione della documentazione a supporto di ordini, DDT, collaudi, trasferimenti, incrementi e dismissioni.</t>
  </si>
  <si>
    <t>Processi:
- Fascicoli tecnici/cartacei/elettronici incompleti
- Documentazione cespiti non archiviata o non facilmente reperibile
- Mancata tracciatura delle comunicazioni tra UO
Persone:
- Mancata trasmissione documenti da fornitore, Global Service, IC o Approvvigionamenti
Fattori esterni:
-
Strumenti:
- Archivi non strutturati o non riconciliati con anagrafica cespite</t>
  </si>
  <si>
    <t>Economiche: Costi e ritardi per ricostruzioni documentali o contenziosi
Danno d'immagine: Rilievi di audit e controlli interni
Salute e sicurezza: Difficoltà nel dimostrare collaudo, addestramento e manutenzione
Compliance normativa: Non conformità a requisiti documentali PAC e ISO
Gestionale - Operativo: Perdita di informazioni critiche per il ciclo di vita del bene
Ambiente: -</t>
  </si>
  <si>
    <t>La documentazione è evidenza del controllo; la sua incompletezza compromette l'assurance PAC pur in presenza di attività svolte.</t>
  </si>
  <si>
    <t>Recupero documenti mancanti; ricostruzione del fascicolo; archiviazione integrativa e note di riconciliazione con anagrafica cespite.</t>
  </si>
  <si>
    <t>Archiviazione illimitata Global Service per collaudo/dismissione; conservazione Approvvigionamenti di dati libro cespiti, ordini, DDT, collaudi, trasferimenti e dismissioni.</t>
  </si>
  <si>
    <t>PAC_D_12</t>
  </si>
  <si>
    <t>Ruoli, responsabilità e flussi informativi non coerenti con la matrice di responsabilità della procedura.</t>
  </si>
  <si>
    <t>Processi:
- Mancata applicazione della matrice RACI
- Passaggi tra Ufficio ordinatore, Approvvigionamenti, Magazzino, Economico-Finanziaria, IC, UO, Global Service e fornitore non tracciati
Persone:
- Ambiguità di ownership o sostituzioni di personale non formalizzate
Fattori esterni:
-
Strumenti:
- Workflow informali non supportati da sistemi o check-list</t>
  </si>
  <si>
    <t>Economiche: Extra costi per ritardi, duplicazioni o rettifiche
Danno d'immagine: Rilievi sul sistema di controllo interno
Salute e sicurezza: Rischio indiretto in caso di collaudo/manutenzione non presidiati
Compliance normativa: Non conformità a procedure interne e PAC
Gestionale - Operativo: Ritardi operativi, attività non eseguite o non documentate
Ambiente: -</t>
  </si>
  <si>
    <t>Il disallineamento dei ruoli riduce l'efficacia dei controlli di primo livello; impatto massimo gestionale/compliance.</t>
  </si>
  <si>
    <t>Riunione di riallineamento tra attori; formalizzazione responsabilità e recupero attività/documenti pendenti.</t>
  </si>
  <si>
    <t>Matrice di responsabilità PO 595; flussi informativi previsti per collaudo, trasferimento, dismissione e conservazione documentale.</t>
  </si>
  <si>
    <t>PAC_D_13</t>
  </si>
  <si>
    <t>Disallineamento tra inventario tecnico del Global Service e libro cespiti/inventario patrimoniale NFS.</t>
  </si>
  <si>
    <t>Processi:
- Aggiornamenti tecnici non comunicati all'inventario patrimoniale
- Cespite patrimoniale non abbinato all'etichetta tecnica
- Dati su stato, ubicazione e piani manutentivi non riconciliati
Persone:
- Mancato controllo periodico incrociato IC/Approvvigionamenti
Fattori esterni:
-
Strumenti:
- Database separati con codifiche o campi non omogenei</t>
  </si>
  <si>
    <t>Economiche: Valori patrimoniali o consistenza inventariale non allineati
Danno d'immagine: Rilievi PAC e perdita di affidabilità dei report
Salute e sicurezza: Piano manutentivo non associato correttamente al bene
Compliance normativa: Non conformità a tracciabilità e controlli inventariali
Gestionale - Operativo: Report e decisioni su sostituzioni/dismissioni basati su dati non aggiornati
Ambiente: -</t>
  </si>
  <si>
    <t>Rischio trasversale tra gestione tecnica e patrimoniale; impatto significativo su reporting, manutenzione e controlli periodici.</t>
  </si>
  <si>
    <t>Riconciliazione puntuale dei record; correzione etichette/codici; allineamento stato, ubicazione e dati tecnici/patrimoniali.</t>
  </si>
  <si>
    <t>Doppia inventariazione; consultazione database; relazioni periodiche e controlli di coerenza tra fascicolo tecnico e scheda cespite.</t>
  </si>
  <si>
    <t>PAC_D_14</t>
  </si>
  <si>
    <t>Accettazione di donazioni di apparecchiature senza adeguata valutazione di strumentalità, conformità e costi/benefici.</t>
  </si>
  <si>
    <t>Processi:
- Parere tecnico IC incompleto o tardivo
- Costi accessori, installazione, messa a norma, manutenzione e riparazione non valutati
- Documentazione sul valore del bene non adeguata
Persone:
- Pressioni organizzative per accettazione rapida del bene
Fattori esterni:
- Donazioni di tecnologie non recenti o non pienamente conformi
Strumenti:
-</t>
  </si>
  <si>
    <t>Economiche: Costi non preventivati di installazione, adeguamento, manutenzione o smaltimento
Danno d'immagine: Criticità verso donante, UO o stakeholder se il bene non è utilizzabile
Salute e sicurezza: Rischio da apparecchiatura non conforme o non adatta al contesto
Compliance normativa: Non conformità a requisiti di sicurezza, salute sul lavoro e iter deliberativo
Gestionale - Operativo: Inserimento di tecnologia non coerente con fabbisogni o sostenibilità
Ambiente: -</t>
  </si>
  <si>
    <t>Le donazioni possono generare rischi tecnici e patrimoniali se non valutate prima dell'accettazione; impatto salute/compliance significativo.</t>
  </si>
  <si>
    <t>Sospensione dell'accettazione o non accettazione motivata; richiesta integrazioni documentali; valutazione messa a norma/costi e collaudo.</t>
  </si>
  <si>
    <t>Parere Ingegneria Clinica su strumentalità e costi/benefici; verifica conformità normativa, spese di consegna/installazione/esercizio/manutenzione; atto deliberativo Approvvigionamenti.</t>
  </si>
  <si>
    <t>PAC_D_15</t>
  </si>
  <si>
    <t>Inadeguato monitoraggio dei contratti di manutenzione e dei livelli di servizio con impatto sul ciclo immobilizzazioni.</t>
  </si>
  <si>
    <t>Processi:
- KPI manutentivi e contrattuali non monitorati o non formalizzati
- Relazioni periodiche non ricevute o non analizzate
- Ritardi del fornitore non contestati
Persone:
- Mancata escalation verso funzioni competenti
Fattori esterni:
- Global Service o ditte specialistiche con performance non coerente con capitolato
Strumenti:
-</t>
  </si>
  <si>
    <t>Economiche: Extra costi per guasti, fermo macchina, sostituzioni o penali non applicate
Danno d'immagine: Disservizi verso reparti e rilievi su governance contrattuale
Salute e sicurezza: Aumento del rischio se beni critici non sono manutenuti
Compliance normativa: Inadempienze contrattuali non gestite
Gestionale - Operativo: Interruzioni operative e dati manutentivi non affidabili
Ambiente: -</t>
  </si>
  <si>
    <t>Il contratto di manutenzione è controllo chiave per conservazione del valore e sicurezza del patrimonio tecnologico; impatto gestione/sicurezza significativo.</t>
  </si>
  <si>
    <t>Solleciti e contestazioni; attivazione penali/azioni contrattuali se previste; affidamento intervento alternativo in urgenza.</t>
  </si>
  <si>
    <t>Monitoraggio gestionale di tempi intervento/risoluzione e cronoprogrammi; dashboard contrattuali; relazione periodica del gestore.</t>
  </si>
  <si>
    <t>Registro</t>
  </si>
  <si>
    <t>Fonte</t>
  </si>
  <si>
    <t>Contenuto utilizzato</t>
  </si>
  <si>
    <t>Note</t>
  </si>
  <si>
    <t>1.3_Gestione_Apparecchiature_Elettromedicali_rev01 (PO 595).pdf</t>
  </si>
  <si>
    <t>Procedura operativa: ciclo di vita apparecchiature, collaudo, inventario, dismissioni, controlli periodici, conservazione documentale.</t>
  </si>
  <si>
    <t>Base per scenari, cause, presidi e responsabilità.</t>
  </si>
  <si>
    <t>Formazione HERM 2026 (1).pdf</t>
  </si>
  <si>
    <t>Modello HERM: tassonomia rischi, metriche impatto/probabilità/controlli, calcolo rischio inerente/residuo e trattamento.</t>
  </si>
  <si>
    <t>Base metodologica per valutazioni e formule.</t>
  </si>
  <si>
    <t>Riferimento anno precedente - rischi Ingegneria Clinica</t>
  </si>
  <si>
    <t>Rischi storici su manutenzione, collaudo, formazione, avvisi sicurezza, prove/visioni, dismissioni e terze parti.</t>
  </si>
  <si>
    <t>Riutilizzato e aggiornato alla PO 595.</t>
  </si>
  <si>
    <t>2026_05_18Risk_Register_PAC_compilato.xlsx</t>
  </si>
  <si>
    <t>Template originale del Risk Register.</t>
  </si>
  <si>
    <t>Struttura, formule e fogli di supporto preservati.</t>
  </si>
  <si>
    <t>Perimetro allargato al PAC Area D - Immobilizzazioni, con focus sui punti di contatto con Ingegneria Clinica e ciclo di vita delle apparecchiature elettromedicali.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</si>
</sst>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</font>
    <font>
      <sz val="10"/>
      <name val="Arial"/>
      <family val="2"/>
    </font>
    <font>
      <b/>
      <sz val="11"/>
      <color theme="0"/>
      <name val="Helvetica Now Text"/>
    </font>
    <font>
      <sz val="9"/>
      <color rgb="FF000000"/>
      <name val="Helvetica Now Text"/>
    </font>
    <font>
      <sz val="11"/>
      <color theme="1"/>
      <name val="Helvetica Now Text"/>
    </font>
    <font>
      <sz val="10"/>
      <color rgb="FF000000"/>
      <name val="Helvetica Now Text"/>
    </font>
    <font>
      <sz val="10"/>
      <color theme="1"/>
      <name val="Helvetica Now Text"/>
    </font>
    <font>
      <b/>
      <sz val="11"/>
      <name val="Helvetica Now Text"/>
    </font>
    <font>
      <sz val="10"/>
      <name val="Helvetica Now Text"/>
    </font>
    <font>
      <b/>
      <sz val="10"/>
      <color theme="1"/>
      <name val="Helvetica Now Text"/>
    </font>
    <font>
      <sz val="9"/>
      <name val="Helvetica Now Text"/>
    </font>
    <font>
      <sz val="11"/>
      <name val="Helvetica Now Text"/>
    </font>
    <font>
      <b/>
      <sz val="10"/>
      <color theme="0"/>
      <name val="Helvetica Now Text"/>
    </font>
    <font>
      <b/>
      <sz val="10"/>
      <name val="Helvetica Now Text"/>
    </font>
    <font>
      <sz val="11"/>
      <color theme="1"/>
      <name val="Calibri"/>
      <family val="2"/>
    </font>
    <font>
      <b/>
      <sz val="14"/>
      <color rgb="FF003399"/>
      <name val="Helvetica Now Text"/>
    </font>
    <font>
      <sz val="14"/>
      <color rgb="FF003399"/>
      <name val="Helvetica Now Text"/>
    </font>
    <font>
      <sz val="14"/>
      <color theme="1"/>
      <name val="Helvetica Now Text"/>
    </font>
    <font>
      <sz val="14"/>
      <color rgb="FFFF0000"/>
      <name val="Helvetica Now Text"/>
    </font>
    <font>
      <b/>
      <sz val="14"/>
      <color rgb="FFFF0000"/>
      <name val="Helvetica Now Text"/>
    </font>
    <font>
      <b/>
      <sz val="9"/>
      <color rgb="FF000000"/>
      <name val="Helvetica Now Text"/>
    </font>
    <font>
      <sz val="8"/>
      <name val="Helvetica Now Text"/>
    </font>
    <font>
      <b/>
      <sz val="9"/>
      <name val="Helvetica Now Text"/>
    </font>
    <font>
      <b/>
      <sz val="11"/>
      <color theme="1"/>
      <name val="Helvetica Now Text"/>
    </font>
    <font>
      <b/>
      <sz val="12"/>
      <name val="Helvetica Now Text"/>
    </font>
    <font>
      <sz val="11"/>
      <color theme="10"/>
      <name val="Calibri"/>
      <family val="2"/>
    </font>
    <font>
      <sz val="10"/>
      <color theme="1"/>
      <name val="Arial"/>
      <family val="2"/>
    </font>
    <font>
      <sz val="10"/>
      <color indexed="12"/>
      <name val="Arial"/>
      <family val="2"/>
    </font>
    <font>
      <b/>
      <sz val="20"/>
      <color rgb="FF00B050"/>
      <name val="Helvetica Now Text"/>
    </font>
    <font>
      <b/>
      <sz val="18"/>
      <color rgb="FF002C77"/>
      <name val="Helvetica Now Text"/>
    </font>
    <font>
      <b/>
      <sz val="14"/>
      <color theme="3"/>
      <name val="Helvetica Now Text"/>
    </font>
    <font>
      <b/>
      <sz val="16"/>
      <color theme="3"/>
      <name val="Helvetica Now Text"/>
    </font>
    <font>
      <sz val="11"/>
      <color theme="3"/>
      <name val="Helvetica Now Text"/>
    </font>
    <font>
      <b/>
      <sz val="14"/>
      <color rgb="FF00B050"/>
      <name val="Helvetica Now Text"/>
    </font>
    <font>
      <sz val="10"/>
      <color theme="3"/>
      <name val="Helvetica Now Text"/>
    </font>
    <font>
      <b/>
      <sz val="22"/>
      <color rgb="FF00B050"/>
      <name val="Helvetica Now Text"/>
    </font>
    <font>
      <b/>
      <sz val="10"/>
      <color indexed="9"/>
      <name val="Helvetica Now Text"/>
    </font>
    <font>
      <b/>
      <sz val="10"/>
      <color rgb="FFFFFFFF"/>
      <name val="Helvetica Now Text"/>
    </font>
    <font>
      <b/>
      <sz val="10"/>
      <color rgb="FF0D0D0D"/>
      <name val="Helvetica Now Text"/>
    </font>
    <font>
      <sz val="10"/>
      <color rgb="FF0D0D0D"/>
      <name val="Helvetica Now Text"/>
    </font>
    <font>
      <sz val="10"/>
      <color indexed="9"/>
      <name val="Helvetica Now Text"/>
    </font>
    <font>
      <b/>
      <sz val="10"/>
      <color rgb="FF000000"/>
      <name val="Helvetica Now Text"/>
    </font>
    <font>
      <sz val="9"/>
      <color rgb="FF000000"/>
      <name val="Helvetica Now Text"/>
    </font>
    <font>
      <sz val="9"/>
      <color theme="1"/>
      <name val="Helvetica Now Text"/>
    </font>
    <font>
      <sz val="9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0"/>
      </patternFill>
    </fill>
    <fill>
      <patternFill patternType="solid">
        <fgColor theme="8" tint="-0.49995422223578601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indexed="55"/>
      </patternFill>
    </fill>
    <fill>
      <patternFill patternType="solid">
        <fgColor rgb="FF7F7F7F"/>
      </patternFill>
    </fill>
    <fill>
      <patternFill patternType="solid">
        <fgColor rgb="FF63BE7B"/>
      </patternFill>
    </fill>
    <fill>
      <patternFill patternType="solid">
        <fgColor rgb="FF97CD7E"/>
      </patternFill>
    </fill>
    <fill>
      <patternFill patternType="solid">
        <fgColor rgb="FFFFEB84"/>
      </patternFill>
    </fill>
    <fill>
      <patternFill patternType="solid">
        <fgColor rgb="FFFDB87B"/>
      </patternFill>
    </fill>
    <fill>
      <patternFill patternType="solid">
        <fgColor rgb="FFF8696B"/>
      </patternFill>
    </fill>
    <fill>
      <patternFill patternType="solid">
        <fgColor theme="0" tint="-0.249977111117893"/>
        <bgColor indexed="65"/>
      </patternFill>
    </fill>
    <fill>
      <patternFill patternType="solid">
        <fgColor indexed="9"/>
      </patternFill>
    </fill>
    <fill>
      <patternFill patternType="solid">
        <fgColor theme="4" tint="-0.4999542222357860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rgb="FF969696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theme="0"/>
      </patternFill>
    </fill>
    <fill>
      <patternFill patternType="solid">
        <fgColor rgb="FF009900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00B05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0F766E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4" fillId="0" borderId="0"/>
    <xf numFmtId="9" fontId="14" fillId="0" borderId="0"/>
    <xf numFmtId="0" fontId="25" fillId="0" borderId="0"/>
    <xf numFmtId="0" fontId="26" fillId="0" borderId="0"/>
    <xf numFmtId="0" fontId="27" fillId="0" borderId="0">
      <alignment vertical="top"/>
    </xf>
    <xf numFmtId="0" fontId="1" fillId="0" borderId="0"/>
  </cellStyleXfs>
  <cellXfs count="22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9" fillId="0" borderId="2" xfId="0" applyFont="1" applyBorder="1" applyAlignment="1">
      <alignment vertical="center"/>
    </xf>
    <xf numFmtId="0" fontId="17" fillId="3" borderId="0" xfId="0" applyFont="1" applyFill="1"/>
    <xf numFmtId="0" fontId="16" fillId="15" borderId="0" xfId="0" applyFont="1" applyFill="1" applyAlignment="1">
      <alignment horizontal="left" vertical="center" wrapText="1"/>
    </xf>
    <xf numFmtId="0" fontId="16" fillId="15" borderId="0" xfId="0" applyFont="1" applyFill="1"/>
    <xf numFmtId="0" fontId="15" fillId="15" borderId="0" xfId="0" applyFont="1" applyFill="1" applyAlignment="1">
      <alignment horizontal="left" vertical="center"/>
    </xf>
    <xf numFmtId="0" fontId="17" fillId="0" borderId="0" xfId="0" applyFont="1"/>
    <xf numFmtId="0" fontId="16" fillId="16" borderId="0" xfId="0" applyFont="1" applyFill="1" applyAlignment="1">
      <alignment horizontal="left" vertical="center" wrapText="1"/>
    </xf>
    <xf numFmtId="0" fontId="18" fillId="15" borderId="0" xfId="0" applyFont="1" applyFill="1"/>
    <xf numFmtId="0" fontId="18" fillId="15" borderId="0" xfId="0" applyFont="1" applyFill="1" applyAlignment="1">
      <alignment horizontal="left" vertical="center" wrapText="1"/>
    </xf>
    <xf numFmtId="0" fontId="19" fillId="15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0" fillId="3" borderId="7" xfId="0" applyFill="1" applyBorder="1"/>
    <xf numFmtId="0" fontId="0" fillId="0" borderId="7" xfId="0" applyBorder="1"/>
    <xf numFmtId="0" fontId="21" fillId="0" borderId="5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0" fontId="0" fillId="0" borderId="5" xfId="0" applyBorder="1"/>
    <xf numFmtId="0" fontId="22" fillId="0" borderId="6" xfId="0" applyFont="1" applyBorder="1" applyAlignment="1">
      <alignment horizontal="center" vertical="center" wrapText="1"/>
    </xf>
    <xf numFmtId="0" fontId="0" fillId="0" borderId="6" xfId="0" applyBorder="1"/>
    <xf numFmtId="0" fontId="4" fillId="3" borderId="0" xfId="0" applyFont="1" applyFill="1"/>
    <xf numFmtId="0" fontId="30" fillId="22" borderId="0" xfId="1" applyFont="1" applyFill="1" applyAlignment="1">
      <alignment vertical="center"/>
    </xf>
    <xf numFmtId="0" fontId="31" fillId="22" borderId="0" xfId="1" applyFont="1" applyFill="1" applyAlignment="1">
      <alignment vertical="top"/>
    </xf>
    <xf numFmtId="0" fontId="32" fillId="3" borderId="0" xfId="0" applyFont="1" applyFill="1"/>
    <xf numFmtId="0" fontId="24" fillId="3" borderId="0" xfId="8" applyFont="1" applyFill="1" applyAlignment="1"/>
    <xf numFmtId="0" fontId="24" fillId="3" borderId="0" xfId="7" applyFont="1" applyFill="1"/>
    <xf numFmtId="0" fontId="34" fillId="3" borderId="0" xfId="7" applyFont="1" applyFill="1"/>
    <xf numFmtId="0" fontId="6" fillId="3" borderId="0" xfId="7" applyFont="1" applyFill="1"/>
    <xf numFmtId="0" fontId="28" fillId="0" borderId="0" xfId="0" applyFont="1" applyAlignment="1">
      <alignment vertical="center" wrapText="1"/>
    </xf>
    <xf numFmtId="0" fontId="12" fillId="23" borderId="2" xfId="0" applyFont="1" applyFill="1" applyBorder="1" applyAlignment="1">
      <alignment horizontal="center" vertical="center" wrapText="1"/>
    </xf>
    <xf numFmtId="0" fontId="12" fillId="24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4" fillId="0" borderId="2" xfId="0" applyFont="1" applyBorder="1"/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23" fillId="0" borderId="2" xfId="0" applyFont="1" applyBorder="1"/>
    <xf numFmtId="0" fontId="3" fillId="0" borderId="6" xfId="0" applyFont="1" applyBorder="1" applyAlignment="1">
      <alignment horizontal="left" vertical="center" wrapText="1"/>
    </xf>
    <xf numFmtId="0" fontId="11" fillId="25" borderId="6" xfId="0" applyFont="1" applyFill="1" applyBorder="1" applyAlignment="1">
      <alignment horizontal="center" vertical="center" wrapText="1"/>
    </xf>
    <xf numFmtId="0" fontId="11" fillId="18" borderId="6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 wrapText="1"/>
    </xf>
    <xf numFmtId="0" fontId="6" fillId="0" borderId="0" xfId="0" applyFont="1"/>
    <xf numFmtId="0" fontId="13" fillId="0" borderId="2" xfId="3" applyFont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3" fillId="0" borderId="11" xfId="3" applyFont="1" applyBorder="1" applyAlignment="1">
      <alignment horizontal="center" vertical="center" wrapText="1"/>
    </xf>
    <xf numFmtId="0" fontId="8" fillId="0" borderId="10" xfId="3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13" fillId="0" borderId="13" xfId="3" applyFont="1" applyBorder="1" applyAlignment="1">
      <alignment horizontal="center" vertical="center" wrapText="1"/>
    </xf>
    <xf numFmtId="0" fontId="8" fillId="0" borderId="12" xfId="3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13" fillId="0" borderId="15" xfId="3" applyFont="1" applyBorder="1" applyAlignment="1">
      <alignment horizontal="center" vertical="center" wrapText="1"/>
    </xf>
    <xf numFmtId="0" fontId="8" fillId="0" borderId="14" xfId="3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3" fillId="0" borderId="0" xfId="3" applyFont="1" applyAlignment="1">
      <alignment horizontal="center" vertical="center" wrapText="1"/>
    </xf>
    <xf numFmtId="0" fontId="8" fillId="0" borderId="0" xfId="3" applyFont="1" applyAlignment="1">
      <alignment vertical="center" wrapText="1"/>
    </xf>
    <xf numFmtId="0" fontId="6" fillId="3" borderId="0" xfId="4" applyFont="1" applyFill="1"/>
    <xf numFmtId="0" fontId="13" fillId="3" borderId="17" xfId="4" applyFont="1" applyFill="1" applyBorder="1" applyAlignment="1">
      <alignment horizontal="center" vertical="center" wrapText="1"/>
    </xf>
    <xf numFmtId="0" fontId="13" fillId="3" borderId="18" xfId="4" applyFont="1" applyFill="1" applyBorder="1" applyAlignment="1">
      <alignment horizontal="center" vertical="center" wrapText="1"/>
    </xf>
    <xf numFmtId="0" fontId="13" fillId="3" borderId="19" xfId="4" applyFont="1" applyFill="1" applyBorder="1" applyAlignment="1">
      <alignment horizontal="center" vertical="center" wrapText="1"/>
    </xf>
    <xf numFmtId="0" fontId="38" fillId="8" borderId="21" xfId="4" applyFont="1" applyFill="1" applyBorder="1" applyAlignment="1">
      <alignment horizontal="center" vertical="center" wrapText="1"/>
    </xf>
    <xf numFmtId="0" fontId="38" fillId="3" borderId="23" xfId="4" applyFont="1" applyFill="1" applyBorder="1" applyAlignment="1">
      <alignment horizontal="center" vertical="center" wrapText="1"/>
    </xf>
    <xf numFmtId="0" fontId="8" fillId="3" borderId="21" xfId="4" applyFont="1" applyFill="1" applyBorder="1" applyAlignment="1">
      <alignment horizontal="left" vertical="center" wrapText="1"/>
    </xf>
    <xf numFmtId="0" fontId="8" fillId="3" borderId="24" xfId="4" applyFont="1" applyFill="1" applyBorder="1" applyAlignment="1">
      <alignment horizontal="left" vertical="center" wrapText="1"/>
    </xf>
    <xf numFmtId="0" fontId="38" fillId="9" borderId="17" xfId="4" applyFont="1" applyFill="1" applyBorder="1" applyAlignment="1">
      <alignment horizontal="center" vertical="center" wrapText="1"/>
    </xf>
    <xf numFmtId="0" fontId="38" fillId="3" borderId="18" xfId="4" applyFont="1" applyFill="1" applyBorder="1" applyAlignment="1">
      <alignment horizontal="center" vertical="center" wrapText="1"/>
    </xf>
    <xf numFmtId="0" fontId="8" fillId="3" borderId="17" xfId="4" applyFont="1" applyFill="1" applyBorder="1" applyAlignment="1">
      <alignment horizontal="left" vertical="center" wrapText="1"/>
    </xf>
    <xf numFmtId="0" fontId="8" fillId="3" borderId="19" xfId="4" applyFont="1" applyFill="1" applyBorder="1" applyAlignment="1">
      <alignment horizontal="left" vertical="center" wrapText="1"/>
    </xf>
    <xf numFmtId="0" fontId="38" fillId="10" borderId="17" xfId="4" applyFont="1" applyFill="1" applyBorder="1" applyAlignment="1">
      <alignment horizontal="center" vertical="center" wrapText="1"/>
    </xf>
    <xf numFmtId="0" fontId="38" fillId="11" borderId="17" xfId="4" applyFont="1" applyFill="1" applyBorder="1" applyAlignment="1">
      <alignment horizontal="center" vertical="center" wrapText="1"/>
    </xf>
    <xf numFmtId="0" fontId="38" fillId="12" borderId="25" xfId="4" applyFont="1" applyFill="1" applyBorder="1" applyAlignment="1">
      <alignment horizontal="center" vertical="center" wrapText="1"/>
    </xf>
    <xf numFmtId="0" fontId="38" fillId="3" borderId="26" xfId="4" applyFont="1" applyFill="1" applyBorder="1" applyAlignment="1">
      <alignment horizontal="center" vertical="center" wrapText="1"/>
    </xf>
    <xf numFmtId="0" fontId="8" fillId="3" borderId="20" xfId="4" applyFont="1" applyFill="1" applyBorder="1" applyAlignment="1">
      <alignment horizontal="left" vertical="center" wrapText="1"/>
    </xf>
    <xf numFmtId="0" fontId="8" fillId="3" borderId="27" xfId="4" applyFont="1" applyFill="1" applyBorder="1" applyAlignment="1">
      <alignment horizontal="left" vertical="center" wrapText="1"/>
    </xf>
    <xf numFmtId="0" fontId="8" fillId="3" borderId="25" xfId="4" applyFont="1" applyFill="1" applyBorder="1" applyAlignment="1">
      <alignment horizontal="left" vertical="center" wrapText="1"/>
    </xf>
    <xf numFmtId="0" fontId="38" fillId="8" borderId="28" xfId="4" applyFont="1" applyFill="1" applyBorder="1" applyAlignment="1">
      <alignment horizontal="center" vertical="center" wrapText="1"/>
    </xf>
    <xf numFmtId="0" fontId="38" fillId="3" borderId="29" xfId="4" applyFont="1" applyFill="1" applyBorder="1" applyAlignment="1">
      <alignment horizontal="center" vertical="center" wrapText="1"/>
    </xf>
    <xf numFmtId="0" fontId="39" fillId="3" borderId="28" xfId="4" applyFont="1" applyFill="1" applyBorder="1" applyAlignment="1">
      <alignment horizontal="left" vertical="center" wrapText="1"/>
    </xf>
    <xf numFmtId="0" fontId="8" fillId="13" borderId="30" xfId="4" applyFont="1" applyFill="1" applyBorder="1" applyAlignment="1">
      <alignment horizontal="left" vertical="center" wrapText="1"/>
    </xf>
    <xf numFmtId="0" fontId="8" fillId="13" borderId="28" xfId="4" applyFont="1" applyFill="1" applyBorder="1" applyAlignment="1">
      <alignment horizontal="left" vertical="center" wrapText="1"/>
    </xf>
    <xf numFmtId="0" fontId="8" fillId="3" borderId="2" xfId="4" applyFont="1" applyFill="1" applyBorder="1" applyAlignment="1">
      <alignment horizontal="left" vertical="center" wrapText="1"/>
    </xf>
    <xf numFmtId="0" fontId="8" fillId="13" borderId="19" xfId="4" applyFont="1" applyFill="1" applyBorder="1" applyAlignment="1">
      <alignment horizontal="left" vertical="center" wrapText="1"/>
    </xf>
    <xf numFmtId="0" fontId="8" fillId="13" borderId="17" xfId="4" applyFont="1" applyFill="1" applyBorder="1" applyAlignment="1">
      <alignment horizontal="left" vertical="center" wrapText="1"/>
    </xf>
    <xf numFmtId="0" fontId="8" fillId="13" borderId="27" xfId="4" applyFont="1" applyFill="1" applyBorder="1" applyAlignment="1">
      <alignment horizontal="left" vertical="center" wrapText="1"/>
    </xf>
    <xf numFmtId="0" fontId="8" fillId="13" borderId="25" xfId="4" applyFont="1" applyFill="1" applyBorder="1" applyAlignment="1">
      <alignment horizontal="left" vertical="center" wrapText="1"/>
    </xf>
    <xf numFmtId="0" fontId="38" fillId="3" borderId="28" xfId="4" applyFont="1" applyFill="1" applyBorder="1" applyAlignment="1">
      <alignment horizontal="center" vertical="center" wrapText="1"/>
    </xf>
    <xf numFmtId="0" fontId="38" fillId="3" borderId="17" xfId="4" applyFont="1" applyFill="1" applyBorder="1" applyAlignment="1">
      <alignment horizontal="center" vertical="center" wrapText="1"/>
    </xf>
    <xf numFmtId="0" fontId="38" fillId="12" borderId="17" xfId="4" applyFont="1" applyFill="1" applyBorder="1" applyAlignment="1">
      <alignment horizontal="center" vertical="center"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horizontal="left" vertical="top" wrapText="1"/>
    </xf>
    <xf numFmtId="0" fontId="40" fillId="0" borderId="0" xfId="3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0" borderId="2" xfId="3" applyFont="1" applyBorder="1" applyAlignment="1">
      <alignment vertical="center" wrapText="1"/>
    </xf>
    <xf numFmtId="0" fontId="38" fillId="8" borderId="2" xfId="4" applyFont="1" applyFill="1" applyBorder="1" applyAlignment="1">
      <alignment horizontal="center" vertical="center" wrapText="1"/>
    </xf>
    <xf numFmtId="9" fontId="41" fillId="3" borderId="2" xfId="5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8" fillId="9" borderId="2" xfId="4" applyFont="1" applyFill="1" applyBorder="1" applyAlignment="1">
      <alignment horizontal="center" vertical="center" wrapText="1"/>
    </xf>
    <xf numFmtId="0" fontId="38" fillId="10" borderId="2" xfId="4" applyFont="1" applyFill="1" applyBorder="1" applyAlignment="1">
      <alignment horizontal="center" vertical="center" wrapText="1"/>
    </xf>
    <xf numFmtId="0" fontId="38" fillId="11" borderId="2" xfId="4" applyFont="1" applyFill="1" applyBorder="1" applyAlignment="1">
      <alignment horizontal="center" vertical="center" wrapText="1"/>
    </xf>
    <xf numFmtId="0" fontId="38" fillId="12" borderId="2" xfId="4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5" fillId="0" borderId="0" xfId="6" applyFont="1" applyAlignment="1">
      <alignment horizontal="left" vertical="center"/>
    </xf>
    <xf numFmtId="0" fontId="2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center" vertical="center" wrapText="1"/>
    </xf>
    <xf numFmtId="0" fontId="20" fillId="19" borderId="2" xfId="0" applyFont="1" applyFill="1" applyBorder="1" applyAlignment="1">
      <alignment horizontal="center" vertical="center" wrapText="1"/>
    </xf>
    <xf numFmtId="0" fontId="22" fillId="19" borderId="2" xfId="0" applyFont="1" applyFill="1" applyBorder="1" applyAlignment="1">
      <alignment horizontal="center" vertical="center" wrapText="1"/>
    </xf>
    <xf numFmtId="0" fontId="22" fillId="19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19" borderId="6" xfId="0" applyFont="1" applyFill="1" applyBorder="1" applyAlignment="1">
      <alignment horizontal="center" vertical="center" wrapText="1"/>
    </xf>
    <xf numFmtId="0" fontId="20" fillId="19" borderId="6" xfId="0" applyFont="1" applyFill="1" applyBorder="1" applyAlignment="1">
      <alignment horizontal="center" vertical="center" wrapText="1"/>
    </xf>
    <xf numFmtId="0" fontId="0" fillId="26" borderId="0" xfId="0" applyFill="1"/>
    <xf numFmtId="0" fontId="42" fillId="27" borderId="2" xfId="0" applyFont="1" applyFill="1" applyBorder="1" applyAlignment="1">
      <alignment horizontal="center" vertical="center" wrapText="1"/>
    </xf>
    <xf numFmtId="0" fontId="33" fillId="3" borderId="0" xfId="6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2" xfId="0" applyBorder="1"/>
    <xf numFmtId="0" fontId="0" fillId="0" borderId="35" xfId="0" applyBorder="1"/>
    <xf numFmtId="0" fontId="0" fillId="0" borderId="4" xfId="0" applyBorder="1"/>
    <xf numFmtId="0" fontId="0" fillId="0" borderId="8" xfId="0" applyBorder="1"/>
    <xf numFmtId="0" fontId="0" fillId="0" borderId="3" xfId="0" applyBorder="1"/>
    <xf numFmtId="0" fontId="29" fillId="3" borderId="0" xfId="7" applyFont="1" applyFill="1" applyAlignment="1">
      <alignment horizontal="center" vertical="center"/>
    </xf>
    <xf numFmtId="0" fontId="43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44" fillId="0" borderId="2" xfId="0" applyFont="1" applyBorder="1" applyAlignment="1">
      <alignment horizontal="left" vertical="top" wrapText="1"/>
    </xf>
    <xf numFmtId="0" fontId="10" fillId="19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10" fillId="5" borderId="2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" xfId="0" applyFont="1" applyBorder="1" applyAlignment="1">
      <alignment vertical="top" wrapText="1"/>
    </xf>
    <xf numFmtId="0" fontId="44" fillId="0" borderId="6" xfId="0" applyFont="1" applyBorder="1" applyAlignment="1">
      <alignment horizontal="center" vertical="top" wrapText="1"/>
    </xf>
    <xf numFmtId="0" fontId="44" fillId="0" borderId="16" xfId="0" applyFont="1" applyBorder="1" applyAlignment="1">
      <alignment horizontal="center" vertical="top" wrapText="1"/>
    </xf>
    <xf numFmtId="0" fontId="44" fillId="0" borderId="2" xfId="0" applyFont="1" applyBorder="1" applyAlignment="1">
      <alignment horizontal="center" vertical="top" wrapText="1"/>
    </xf>
    <xf numFmtId="0" fontId="44" fillId="3" borderId="2" xfId="0" applyFont="1" applyFill="1" applyBorder="1" applyAlignment="1">
      <alignment horizontal="center" vertical="top" wrapText="1"/>
    </xf>
    <xf numFmtId="1" fontId="44" fillId="3" borderId="2" xfId="0" applyNumberFormat="1" applyFont="1" applyFill="1" applyBorder="1" applyAlignment="1">
      <alignment horizontal="center" vertical="top" wrapText="1"/>
    </xf>
    <xf numFmtId="2" fontId="44" fillId="0" borderId="2" xfId="0" applyNumberFormat="1" applyFont="1" applyBorder="1" applyAlignment="1">
      <alignment vertical="top" wrapText="1"/>
    </xf>
    <xf numFmtId="0" fontId="45" fillId="0" borderId="0" xfId="0" applyFont="1" applyAlignment="1">
      <alignment vertical="top" wrapText="1"/>
    </xf>
    <xf numFmtId="0" fontId="44" fillId="3" borderId="2" xfId="0" applyFont="1" applyFill="1" applyBorder="1" applyAlignment="1">
      <alignment horizontal="left" vertical="top" wrapText="1"/>
    </xf>
    <xf numFmtId="0" fontId="45" fillId="3" borderId="2" xfId="0" applyFont="1" applyFill="1" applyBorder="1" applyAlignment="1">
      <alignment vertical="top" wrapText="1"/>
    </xf>
    <xf numFmtId="0" fontId="46" fillId="28" borderId="0" xfId="0" applyFont="1" applyFill="1" applyAlignment="1">
      <alignment wrapText="1"/>
    </xf>
    <xf numFmtId="0" fontId="12" fillId="4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35" fillId="0" borderId="0" xfId="6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2" fillId="4" borderId="40" xfId="0" applyFont="1" applyFill="1" applyBorder="1" applyAlignment="1">
      <alignment horizontal="center" vertical="center" wrapText="1"/>
    </xf>
    <xf numFmtId="0" fontId="0" fillId="0" borderId="36" xfId="0" applyBorder="1"/>
    <xf numFmtId="0" fontId="12" fillId="4" borderId="37" xfId="0" applyFont="1" applyFill="1" applyBorder="1" applyAlignment="1">
      <alignment horizontal="center" vertical="center" wrapText="1"/>
    </xf>
    <xf numFmtId="0" fontId="12" fillId="4" borderId="39" xfId="0" applyFont="1" applyFill="1" applyBorder="1" applyAlignment="1">
      <alignment horizontal="center" vertical="center" wrapText="1"/>
    </xf>
    <xf numFmtId="0" fontId="35" fillId="0" borderId="0" xfId="6" applyFont="1" applyAlignment="1">
      <alignment horizontal="left" vertical="center"/>
    </xf>
    <xf numFmtId="0" fontId="4" fillId="0" borderId="0" xfId="0" applyFont="1"/>
    <xf numFmtId="0" fontId="16" fillId="14" borderId="0" xfId="0" applyFont="1" applyFill="1" applyAlignment="1">
      <alignment horizontal="left" vertical="center" wrapText="1"/>
    </xf>
    <xf numFmtId="0" fontId="17" fillId="0" borderId="0" xfId="0" applyFont="1"/>
    <xf numFmtId="0" fontId="7" fillId="0" borderId="2" xfId="0" applyFont="1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20" fillId="19" borderId="1" xfId="0" applyFont="1" applyFill="1" applyBorder="1" applyAlignment="1">
      <alignment horizontal="center" vertical="center" wrapText="1"/>
    </xf>
    <xf numFmtId="0" fontId="0" fillId="19" borderId="32" xfId="0" applyFill="1" applyBorder="1"/>
    <xf numFmtId="0" fontId="0" fillId="19" borderId="4" xfId="0" applyFill="1" applyBorder="1"/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2" fillId="19" borderId="2" xfId="0" applyFont="1" applyFill="1" applyBorder="1" applyAlignment="1">
      <alignment horizontal="center" vertical="center" wrapText="1"/>
    </xf>
    <xf numFmtId="0" fontId="0" fillId="19" borderId="7" xfId="0" applyFill="1" applyBorder="1"/>
    <xf numFmtId="0" fontId="0" fillId="19" borderId="5" xfId="0" applyFill="1" applyBorder="1"/>
    <xf numFmtId="0" fontId="22" fillId="19" borderId="4" xfId="0" applyFont="1" applyFill="1" applyBorder="1" applyAlignment="1">
      <alignment horizontal="center" vertical="center" wrapText="1"/>
    </xf>
    <xf numFmtId="0" fontId="35" fillId="0" borderId="0" xfId="6" applyFont="1" applyAlignment="1">
      <alignment horizontal="left"/>
    </xf>
    <xf numFmtId="0" fontId="0" fillId="0" borderId="0" xfId="0"/>
    <xf numFmtId="0" fontId="20" fillId="19" borderId="4" xfId="0" applyFont="1" applyFill="1" applyBorder="1" applyAlignment="1">
      <alignment horizontal="center" vertical="center" wrapText="1"/>
    </xf>
    <xf numFmtId="0" fontId="6" fillId="0" borderId="0" xfId="0" applyFont="1"/>
    <xf numFmtId="0" fontId="36" fillId="6" borderId="9" xfId="3" applyFont="1" applyFill="1" applyBorder="1" applyAlignment="1">
      <alignment horizontal="center" vertical="center" wrapText="1"/>
    </xf>
    <xf numFmtId="0" fontId="0" fillId="0" borderId="9" xfId="0" applyBorder="1"/>
    <xf numFmtId="0" fontId="9" fillId="0" borderId="22" xfId="4" applyFont="1" applyBorder="1" applyAlignment="1">
      <alignment horizontal="center" vertical="center"/>
    </xf>
    <xf numFmtId="0" fontId="0" fillId="0" borderId="22" xfId="0" applyBorder="1"/>
    <xf numFmtId="0" fontId="12" fillId="17" borderId="8" xfId="0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0" fontId="37" fillId="7" borderId="23" xfId="4" applyFont="1" applyFill="1" applyBorder="1" applyAlignment="1">
      <alignment horizontal="center" vertical="center" wrapText="1"/>
    </xf>
    <xf numFmtId="0" fontId="0" fillId="0" borderId="31" xfId="0" applyBorder="1"/>
  </cellXfs>
  <cellStyles count="10">
    <cellStyle name="Collegamento ipertestuale" xfId="6" xr:uid="{00000000-0005-0000-0000-000000000000}"/>
    <cellStyle name="Collegamento ipertestuale 2" xfId="8" xr:uid="{00000000-0005-0000-0000-000001000000}"/>
    <cellStyle name="Excel Built-in Normal" xfId="1" xr:uid="{00000000-0005-0000-0000-000002000000}"/>
    <cellStyle name="Normal 7" xfId="7" xr:uid="{00000000-0005-0000-0000-000003000000}"/>
    <cellStyle name="Normale" xfId="0" builtinId="0"/>
    <cellStyle name="Normale 2" xfId="2" xr:uid="{00000000-0005-0000-0000-000005000000}"/>
    <cellStyle name="Normale 3" xfId="9" xr:uid="{00000000-0005-0000-0000-000006000000}"/>
    <cellStyle name="Normale 3 2" xfId="4" xr:uid="{00000000-0005-0000-0000-000007000000}"/>
    <cellStyle name="Normale_070628 - FM - Mappa Rischi" xfId="3" xr:uid="{00000000-0005-0000-0000-000008000000}"/>
    <cellStyle name="Percentuale" xfId="5" xr:uid="{00000000-0005-0000-0000-000009000000}"/>
  </cellStyles>
  <dxfs count="9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workbookViewId="0"/>
  </sheetViews>
  <sheetFormatPr baseColWidth="10" defaultRowHeight="16"/>
  <sheetData>
    <row r="1" spans="1:22" ht="15"/>
    <row r="2" spans="1:22" ht="15">
      <c r="H2" s="164" t="s">
        <v>0</v>
      </c>
      <c r="I2" s="165"/>
      <c r="J2" s="165"/>
      <c r="K2" s="165"/>
      <c r="L2" s="165"/>
      <c r="M2" s="165"/>
      <c r="N2" s="165"/>
      <c r="O2" s="166"/>
    </row>
    <row r="3" spans="1:22" ht="15">
      <c r="H3" s="167"/>
      <c r="I3" s="61"/>
      <c r="J3" s="61"/>
      <c r="K3" s="61"/>
      <c r="L3" s="61"/>
      <c r="M3" s="61"/>
      <c r="N3" s="61"/>
      <c r="O3" s="168"/>
    </row>
    <row r="4" spans="1:22" ht="15">
      <c r="H4" s="167"/>
      <c r="I4" s="61"/>
      <c r="J4" s="61"/>
      <c r="K4" s="61"/>
      <c r="L4" s="61"/>
      <c r="M4" s="61"/>
      <c r="N4" s="61"/>
      <c r="O4" s="168"/>
    </row>
    <row r="5" spans="1:22" ht="15">
      <c r="H5" s="167"/>
      <c r="I5" s="61"/>
      <c r="J5" s="61"/>
      <c r="K5" s="61"/>
      <c r="L5" s="61"/>
      <c r="M5" s="61"/>
      <c r="N5" s="61"/>
      <c r="O5" s="168"/>
    </row>
    <row r="6" spans="1:22" ht="15">
      <c r="H6" s="167"/>
      <c r="I6" s="61"/>
      <c r="J6" s="61"/>
      <c r="K6" s="61"/>
      <c r="L6" s="61"/>
      <c r="M6" s="61"/>
      <c r="N6" s="61"/>
      <c r="O6" s="168"/>
    </row>
    <row r="7" spans="1:22" ht="15">
      <c r="H7" s="167"/>
      <c r="I7" s="61"/>
      <c r="J7" s="61"/>
      <c r="K7" s="61"/>
      <c r="L7" s="61"/>
      <c r="M7" s="61"/>
      <c r="N7" s="61"/>
      <c r="O7" s="168"/>
    </row>
    <row r="8" spans="1:22" ht="15">
      <c r="H8" s="167"/>
      <c r="I8" s="61"/>
      <c r="J8" s="61"/>
      <c r="K8" s="61"/>
      <c r="L8" s="61"/>
      <c r="M8" s="61"/>
      <c r="N8" s="61"/>
      <c r="O8" s="168"/>
    </row>
    <row r="9" spans="1:22" ht="15">
      <c r="H9" s="167"/>
      <c r="I9" s="61"/>
      <c r="J9" s="61"/>
      <c r="K9" s="61"/>
      <c r="L9" s="61"/>
      <c r="M9" s="61"/>
      <c r="N9" s="61"/>
      <c r="O9" s="168"/>
    </row>
    <row r="10" spans="1:22" ht="15">
      <c r="H10" s="169"/>
      <c r="I10" s="170"/>
      <c r="J10" s="170"/>
      <c r="K10" s="170"/>
      <c r="L10" s="170"/>
      <c r="M10" s="170"/>
      <c r="N10" s="170"/>
      <c r="O10" s="171"/>
    </row>
    <row r="11" spans="1:22" ht="15"/>
    <row r="12" spans="1:22" ht="23">
      <c r="A12" s="172" t="s">
        <v>414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 spans="1:22" ht="21"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</row>
    <row r="14" spans="1:22" ht="18">
      <c r="A14" s="163" t="s">
        <v>1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 spans="1:22" ht="21"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4"/>
    </row>
    <row r="16" spans="1:22" ht="18">
      <c r="A16" s="163" t="s">
        <v>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 spans="1:22" ht="21">
      <c r="B17" s="62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4"/>
    </row>
    <row r="18" spans="1:22" ht="18">
      <c r="A18" s="163" t="s">
        <v>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 spans="1:22">
      <c r="B19" s="65"/>
      <c r="C19" s="66"/>
      <c r="D19" s="66"/>
      <c r="E19" s="67"/>
      <c r="F19" s="67"/>
      <c r="G19" s="67"/>
      <c r="H19" s="67"/>
      <c r="I19" s="67"/>
      <c r="J19" s="67"/>
      <c r="K19" s="67"/>
      <c r="L19" s="67"/>
      <c r="M19" s="67"/>
      <c r="N19" s="64"/>
    </row>
    <row r="20" spans="1:22" ht="18">
      <c r="A20" s="163" t="s">
        <v>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 spans="1:22">
      <c r="B21" s="65"/>
      <c r="C21" s="66"/>
      <c r="D21" s="66"/>
      <c r="E21" s="68"/>
      <c r="F21" s="68"/>
      <c r="G21" s="68"/>
      <c r="H21" s="68"/>
      <c r="I21" s="68"/>
      <c r="J21" s="68"/>
      <c r="K21" s="68"/>
      <c r="L21" s="68"/>
      <c r="M21" s="68"/>
    </row>
    <row r="22" spans="1:22">
      <c r="B22" s="65"/>
    </row>
    <row r="23" spans="1:22" ht="15"/>
    <row r="24" spans="1:22" ht="15"/>
    <row r="25" spans="1:22" ht="15"/>
    <row r="26" spans="1:22" ht="15"/>
    <row r="27" spans="1:22" ht="15"/>
    <row r="28" spans="1:22" ht="15"/>
    <row r="29" spans="1:22" ht="15"/>
    <row r="30" spans="1:22" ht="15"/>
    <row r="31" spans="1:22" ht="15"/>
    <row r="32" spans="1:2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C1:BD86"/>
  <sheetViews>
    <sheetView showGridLines="0" workbookViewId="0"/>
  </sheetViews>
  <sheetFormatPr baseColWidth="10" defaultColWidth="8.83203125" defaultRowHeight="15"/>
  <cols>
    <col min="1" max="2" width="3.5" style="34" customWidth="1"/>
    <col min="3" max="4" width="10" style="32" customWidth="1"/>
    <col min="5" max="5" width="18" style="32" customWidth="1"/>
    <col min="6" max="7" width="18" customWidth="1"/>
    <col min="8" max="8" width="18" style="32" customWidth="1"/>
    <col min="9" max="10" width="18" customWidth="1"/>
    <col min="11" max="13" width="38" style="34" customWidth="1"/>
    <col min="14" max="14" width="32" style="34" customWidth="1"/>
    <col min="15" max="16" width="10" customWidth="1"/>
    <col min="17" max="17" width="10" style="34" customWidth="1"/>
    <col min="18" max="19" width="10" customWidth="1"/>
    <col min="20" max="20" width="10" style="34" customWidth="1"/>
    <col min="21" max="23" width="10" customWidth="1"/>
    <col min="24" max="24" width="38" style="20" customWidth="1"/>
    <col min="25" max="30" width="10" style="20" customWidth="1"/>
    <col min="31" max="31" width="10" style="32" customWidth="1"/>
    <col min="32" max="33" width="10" style="33" customWidth="1"/>
    <col min="34" max="36" width="10" customWidth="1"/>
    <col min="37" max="37" width="38" style="20" customWidth="1"/>
    <col min="38" max="45" width="10" style="32" customWidth="1"/>
    <col min="46" max="48" width="10" style="34" customWidth="1"/>
    <col min="49" max="49" width="38" style="23" customWidth="1"/>
    <col min="50" max="50" width="10" style="20" customWidth="1"/>
    <col min="51" max="56" width="10" style="34" customWidth="1"/>
    <col min="57" max="57" width="8.83203125" style="34" customWidth="1"/>
    <col min="58" max="16384" width="8.83203125" style="34"/>
  </cols>
  <sheetData>
    <row r="1" spans="3:56">
      <c r="AX1" s="34"/>
    </row>
    <row r="2" spans="3:56" ht="16.75" customHeight="1">
      <c r="C2" s="194" t="s">
        <v>414</v>
      </c>
      <c r="D2" s="195"/>
      <c r="E2" s="195"/>
      <c r="F2" s="69"/>
      <c r="G2" s="69"/>
      <c r="AX2" s="34"/>
    </row>
    <row r="3" spans="3:56" ht="16.75" customHeight="1">
      <c r="C3" s="195"/>
      <c r="D3" s="195"/>
      <c r="E3" s="195"/>
      <c r="F3" s="69"/>
      <c r="G3" s="69"/>
      <c r="AX3" s="34"/>
    </row>
    <row r="4" spans="3:56">
      <c r="AX4" s="34"/>
    </row>
    <row r="5" spans="3:56" ht="21.5" customHeight="1">
      <c r="C5" s="199" t="s">
        <v>5</v>
      </c>
      <c r="D5" s="193"/>
      <c r="E5" s="193"/>
      <c r="F5" s="193"/>
      <c r="G5" s="197"/>
      <c r="H5" s="196" t="s">
        <v>6</v>
      </c>
      <c r="I5" s="193"/>
      <c r="J5" s="193"/>
      <c r="K5" s="197"/>
      <c r="L5" s="196" t="s">
        <v>7</v>
      </c>
      <c r="M5" s="197"/>
      <c r="N5" s="196" t="s">
        <v>8</v>
      </c>
      <c r="O5" s="193"/>
      <c r="P5" s="193"/>
      <c r="Q5" s="193"/>
      <c r="R5" s="193"/>
      <c r="S5" s="193"/>
      <c r="T5" s="193"/>
      <c r="U5" s="193"/>
      <c r="V5" s="193"/>
      <c r="W5" s="197"/>
      <c r="X5" s="196" t="s">
        <v>9</v>
      </c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7"/>
      <c r="AN5" s="198" t="s">
        <v>10</v>
      </c>
      <c r="AO5" s="193"/>
      <c r="AP5" s="193"/>
      <c r="AQ5" s="193"/>
      <c r="AR5" s="193"/>
      <c r="AS5" s="193"/>
      <c r="AT5" s="198" t="s">
        <v>10</v>
      </c>
      <c r="AU5" s="193"/>
      <c r="AV5" s="193"/>
      <c r="AW5" s="88" t="s">
        <v>11</v>
      </c>
      <c r="AX5" s="192" t="s">
        <v>12</v>
      </c>
      <c r="AY5" s="193"/>
      <c r="AZ5" s="193"/>
      <c r="BA5" s="193"/>
      <c r="BB5" s="198" t="s">
        <v>13</v>
      </c>
      <c r="BC5" s="193"/>
      <c r="BD5" s="193"/>
    </row>
    <row r="6" spans="3:56" ht="39.5" customHeight="1">
      <c r="C6" s="29" t="s">
        <v>14</v>
      </c>
      <c r="D6" s="71" t="s">
        <v>15</v>
      </c>
      <c r="E6" s="29" t="s">
        <v>16</v>
      </c>
      <c r="F6" s="29" t="s">
        <v>17</v>
      </c>
      <c r="G6" s="29" t="s">
        <v>18</v>
      </c>
      <c r="H6" s="70" t="s">
        <v>19</v>
      </c>
      <c r="I6" s="70" t="s">
        <v>20</v>
      </c>
      <c r="J6" s="70" t="s">
        <v>21</v>
      </c>
      <c r="K6" s="70" t="s">
        <v>22</v>
      </c>
      <c r="L6" s="29" t="s">
        <v>23</v>
      </c>
      <c r="M6" s="29" t="s">
        <v>24</v>
      </c>
      <c r="N6" s="70" t="s">
        <v>25</v>
      </c>
      <c r="O6" s="70" t="s">
        <v>26</v>
      </c>
      <c r="P6" s="70" t="s">
        <v>27</v>
      </c>
      <c r="Q6" s="70" t="s">
        <v>28</v>
      </c>
      <c r="R6" s="70" t="s">
        <v>29</v>
      </c>
      <c r="S6" s="70" t="s">
        <v>30</v>
      </c>
      <c r="T6" s="70" t="s">
        <v>31</v>
      </c>
      <c r="U6" s="71" t="s">
        <v>32</v>
      </c>
      <c r="V6" s="70" t="s">
        <v>33</v>
      </c>
      <c r="W6" s="71" t="s">
        <v>34</v>
      </c>
      <c r="X6" s="29" t="s">
        <v>35</v>
      </c>
      <c r="Y6" s="29" t="s">
        <v>36</v>
      </c>
      <c r="Z6" s="29" t="s">
        <v>37</v>
      </c>
      <c r="AA6" s="29" t="s">
        <v>38</v>
      </c>
      <c r="AB6" s="29" t="s">
        <v>39</v>
      </c>
      <c r="AC6" s="29" t="s">
        <v>40</v>
      </c>
      <c r="AD6" s="29" t="s">
        <v>41</v>
      </c>
      <c r="AE6" s="71" t="s">
        <v>42</v>
      </c>
      <c r="AF6" s="71" t="s">
        <v>43</v>
      </c>
      <c r="AG6" s="71" t="s">
        <v>44</v>
      </c>
      <c r="AH6" s="71" t="s">
        <v>45</v>
      </c>
      <c r="AI6" s="71" t="s">
        <v>46</v>
      </c>
      <c r="AJ6" s="71" t="s">
        <v>47</v>
      </c>
      <c r="AK6" s="29" t="s">
        <v>48</v>
      </c>
      <c r="AL6" s="29" t="s">
        <v>49</v>
      </c>
      <c r="AM6" s="71" t="s">
        <v>50</v>
      </c>
      <c r="AN6" s="71" t="s">
        <v>26</v>
      </c>
      <c r="AO6" s="71" t="s">
        <v>27</v>
      </c>
      <c r="AP6" s="71" t="s">
        <v>28</v>
      </c>
      <c r="AQ6" s="71" t="s">
        <v>29</v>
      </c>
      <c r="AR6" s="71" t="s">
        <v>51</v>
      </c>
      <c r="AS6" s="71" t="s">
        <v>31</v>
      </c>
      <c r="AT6" s="70" t="s">
        <v>52</v>
      </c>
      <c r="AU6" s="70" t="s">
        <v>53</v>
      </c>
      <c r="AV6" s="70" t="s">
        <v>54</v>
      </c>
      <c r="AW6" s="29" t="s">
        <v>55</v>
      </c>
      <c r="AX6" s="70" t="s">
        <v>56</v>
      </c>
      <c r="AY6" s="71" t="s">
        <v>57</v>
      </c>
      <c r="AZ6" s="70" t="s">
        <v>58</v>
      </c>
      <c r="BA6" s="71" t="s">
        <v>50</v>
      </c>
      <c r="BB6" s="29" t="s">
        <v>59</v>
      </c>
      <c r="BC6" s="29" t="s">
        <v>60</v>
      </c>
      <c r="BD6" s="70" t="s">
        <v>61</v>
      </c>
    </row>
    <row r="7" spans="3:56" ht="130" customHeight="1">
      <c r="C7" s="173">
        <v>1</v>
      </c>
      <c r="D7" s="173" t="s">
        <v>415</v>
      </c>
      <c r="E7" s="173" t="s">
        <v>416</v>
      </c>
      <c r="F7" s="173" t="s">
        <v>417</v>
      </c>
      <c r="G7" s="173" t="s">
        <v>418</v>
      </c>
      <c r="H7" s="173" t="s">
        <v>369</v>
      </c>
      <c r="I7" s="173" t="s">
        <v>175</v>
      </c>
      <c r="J7" s="173"/>
      <c r="K7" s="174" t="s">
        <v>419</v>
      </c>
      <c r="L7" s="175" t="s">
        <v>420</v>
      </c>
      <c r="M7" s="175" t="s">
        <v>421</v>
      </c>
      <c r="N7" s="176" t="s">
        <v>422</v>
      </c>
      <c r="O7" s="177">
        <v>3</v>
      </c>
      <c r="P7" s="177">
        <v>2</v>
      </c>
      <c r="Q7" s="177">
        <v>2</v>
      </c>
      <c r="R7" s="177">
        <v>5</v>
      </c>
      <c r="S7" s="177">
        <v>5</v>
      </c>
      <c r="T7" s="177" t="s">
        <v>69</v>
      </c>
      <c r="U7" s="177">
        <f t="shared" ref="U7:U21" si="0">IF(AND(OR(O7="",O7="N.A."),OR(P7="",P7="N.A."),OR(Q7="",Q7="N.A."),OR(R7="",R7="N.A."),OR(S7="",S7="N.A."),OR(T7="",T7="N.A.")),"N.A.",MAX(O7:T7))</f>
        <v>5</v>
      </c>
      <c r="V7" s="177">
        <v>3</v>
      </c>
      <c r="W7" s="178">
        <f t="shared" ref="W7:W21" si="1">IF(OR(U7="N.A.",V7="",V7="N.A."),"N.A.",U7*V7)</f>
        <v>15</v>
      </c>
      <c r="X7" s="179" t="s">
        <v>423</v>
      </c>
      <c r="Y7" s="177">
        <v>3</v>
      </c>
      <c r="Z7" s="177">
        <v>4</v>
      </c>
      <c r="AA7" s="177">
        <v>3</v>
      </c>
      <c r="AB7" s="177">
        <v>3</v>
      </c>
      <c r="AC7" s="177">
        <v>3</v>
      </c>
      <c r="AD7" s="177"/>
      <c r="AE7" s="173">
        <f>IF(Y7="","",VLOOKUP(Y7,Appoggio!$M$3:$N$7,2,0))</f>
        <v>0.25</v>
      </c>
      <c r="AF7" s="173">
        <f>IF(Z7="","",VLOOKUP(Z7,Appoggio!$M$3:$N$7,2,0))</f>
        <v>0.1</v>
      </c>
      <c r="AG7" s="173">
        <f>IF(AA7="","",VLOOKUP(AA7,Appoggio!$M$3:$N$7,2,0))</f>
        <v>0.25</v>
      </c>
      <c r="AH7" s="173">
        <f>IF(AB7="","",VLOOKUP(AB7,Appoggio!$M$3:$N$7,2,0))</f>
        <v>0.25</v>
      </c>
      <c r="AI7" s="173">
        <f>IF(AC7="","",VLOOKUP(AC7,Appoggio!$M$3:$N$7,2,0))</f>
        <v>0.25</v>
      </c>
      <c r="AJ7" s="173" t="str">
        <f>IF(AD7="","",VLOOKUP(AD7,Appoggio!$M$3:$N$7,2,0))</f>
        <v/>
      </c>
      <c r="AK7" s="180" t="s">
        <v>424</v>
      </c>
      <c r="AL7" s="177">
        <v>4</v>
      </c>
      <c r="AM7" s="173">
        <f>IF(AL7="","",VLOOKUP(AL7,Appoggio!$M$3:$N$7,2,0))</f>
        <v>0.1</v>
      </c>
      <c r="AN7" s="177">
        <f t="shared" ref="AN7:AS7" si="2">IF(OR(O7="N.A.",O7="",AE7=""),"N.A.",O7*AE7)</f>
        <v>0.75</v>
      </c>
      <c r="AO7" s="177">
        <f t="shared" si="2"/>
        <v>0.2</v>
      </c>
      <c r="AP7" s="177">
        <f t="shared" si="2"/>
        <v>0.5</v>
      </c>
      <c r="AQ7" s="177">
        <f t="shared" si="2"/>
        <v>1.25</v>
      </c>
      <c r="AR7" s="177">
        <f t="shared" si="2"/>
        <v>1.25</v>
      </c>
      <c r="AS7" s="177" t="str">
        <f t="shared" si="2"/>
        <v>N.A.</v>
      </c>
      <c r="AT7" s="177">
        <f t="shared" ref="AT7:AT21" si="3">IF(AND(OR(AN7="",AN7="N.A."),OR(AO7="",AO7="N.A."),OR(AP7="",AP7="N.A."),OR(AQ7="",AQ7="N.A."),OR(AR7="",AR7="N.A."),OR(AS7="",AS7="N.A.")),"N.A.",MAX(AN7:AS7))</f>
        <v>1.25</v>
      </c>
      <c r="AU7" s="177">
        <f t="shared" ref="AU7:AU21" si="4">IF(OR(V7="",V7="N.A.",AM7=""),"N.A.",V7*AM7)</f>
        <v>0.30000000000000004</v>
      </c>
      <c r="AV7" s="177">
        <f t="shared" ref="AV7:AV21" si="5">IF(OR(AT7="N.A.",AU7="N.A."),"N.A.",ROUND(AT7*AU7,1))</f>
        <v>0.4</v>
      </c>
      <c r="AW7" s="179"/>
      <c r="AX7" s="177"/>
      <c r="AY7" s="173" t="str">
        <f>IF(AX7="","",VLOOKUP(AX7,Appoggio!$M$3:$N$7,2,0))</f>
        <v/>
      </c>
      <c r="AZ7" s="177"/>
      <c r="BA7" s="173" t="str">
        <f>IF(AZ7="","",VLOOKUP(AZ7,Appoggio!$M$3:$N$7,2,0))</f>
        <v/>
      </c>
      <c r="BB7" s="181">
        <f t="shared" ref="BB7:BB21" si="6">IF(AY7="",AT7,IF(AT7="N.A.","N.A.",AT7*AY7))</f>
        <v>1.25</v>
      </c>
      <c r="BC7" s="181">
        <f t="shared" ref="BC7:BC21" si="7">IF(BA7="",AU7,IF(AU7="N.A.","N.A.",AU7*BA7))</f>
        <v>0.30000000000000004</v>
      </c>
      <c r="BD7" s="177">
        <f t="shared" ref="BD7:BD21" si="8">IF(OR(BB7="N.A.",BC7="N.A."),"N.A.",ROUND(BB7*BC7,1))</f>
        <v>0.4</v>
      </c>
    </row>
    <row r="8" spans="3:56" ht="130" customHeight="1">
      <c r="C8" s="173">
        <v>2</v>
      </c>
      <c r="D8" s="173" t="s">
        <v>425</v>
      </c>
      <c r="E8" s="173" t="s">
        <v>416</v>
      </c>
      <c r="F8" s="173" t="s">
        <v>417</v>
      </c>
      <c r="G8" s="173" t="s">
        <v>418</v>
      </c>
      <c r="H8" s="173" t="s">
        <v>361</v>
      </c>
      <c r="I8" s="173" t="s">
        <v>65</v>
      </c>
      <c r="J8" s="173"/>
      <c r="K8" s="174" t="s">
        <v>426</v>
      </c>
      <c r="L8" s="175" t="s">
        <v>427</v>
      </c>
      <c r="M8" s="175" t="s">
        <v>428</v>
      </c>
      <c r="N8" s="179" t="s">
        <v>429</v>
      </c>
      <c r="O8" s="177">
        <v>5</v>
      </c>
      <c r="P8" s="177">
        <v>2</v>
      </c>
      <c r="Q8" s="177">
        <v>2</v>
      </c>
      <c r="R8" s="177">
        <v>5</v>
      </c>
      <c r="S8" s="177">
        <v>5</v>
      </c>
      <c r="T8" s="177" t="s">
        <v>69</v>
      </c>
      <c r="U8" s="177">
        <f t="shared" si="0"/>
        <v>5</v>
      </c>
      <c r="V8" s="177">
        <v>3</v>
      </c>
      <c r="W8" s="178">
        <f t="shared" si="1"/>
        <v>15</v>
      </c>
      <c r="X8" s="180" t="s">
        <v>430</v>
      </c>
      <c r="Y8" s="173">
        <v>3</v>
      </c>
      <c r="Z8" s="173">
        <v>4</v>
      </c>
      <c r="AA8" s="173">
        <v>3</v>
      </c>
      <c r="AB8" s="173">
        <v>3</v>
      </c>
      <c r="AC8" s="173">
        <v>3</v>
      </c>
      <c r="AD8" s="173"/>
      <c r="AE8" s="173">
        <f>IF(Y8="","",VLOOKUP(Y8,Appoggio!$M$3:$N$7,2,0))</f>
        <v>0.25</v>
      </c>
      <c r="AF8" s="173">
        <f>IF(Z8="","",VLOOKUP(Z8,Appoggio!$M$3:$N$7,2,0))</f>
        <v>0.1</v>
      </c>
      <c r="AG8" s="173">
        <f>IF(AA8="","",VLOOKUP(AA8,Appoggio!$M$3:$N$7,2,0))</f>
        <v>0.25</v>
      </c>
      <c r="AH8" s="173">
        <f>IF(AB8="","",VLOOKUP(AB8,Appoggio!$M$3:$N$7,2,0))</f>
        <v>0.25</v>
      </c>
      <c r="AI8" s="173">
        <f>IF(AC8="","",VLOOKUP(AC8,Appoggio!$M$3:$N$7,2,0))</f>
        <v>0.25</v>
      </c>
      <c r="AJ8" s="173" t="str">
        <f>IF(AD8="","",VLOOKUP(AD8,Appoggio!$M$3:$N$7,2,0))</f>
        <v/>
      </c>
      <c r="AK8" s="180" t="s">
        <v>431</v>
      </c>
      <c r="AL8" s="173">
        <v>4</v>
      </c>
      <c r="AM8" s="173">
        <f>IF(AL8="","",VLOOKUP(AL8,Appoggio!$M$3:$N$7,2,0))</f>
        <v>0.1</v>
      </c>
      <c r="AN8" s="177">
        <f t="shared" ref="AN8:AS8" si="9">IF(OR(O8="N.A.",O8="",AE8=""),"N.A.",O8*AE8)</f>
        <v>1.25</v>
      </c>
      <c r="AO8" s="177">
        <f t="shared" si="9"/>
        <v>0.2</v>
      </c>
      <c r="AP8" s="177">
        <f t="shared" si="9"/>
        <v>0.5</v>
      </c>
      <c r="AQ8" s="177">
        <f t="shared" si="9"/>
        <v>1.25</v>
      </c>
      <c r="AR8" s="177">
        <f t="shared" si="9"/>
        <v>1.25</v>
      </c>
      <c r="AS8" s="177" t="str">
        <f t="shared" si="9"/>
        <v>N.A.</v>
      </c>
      <c r="AT8" s="177">
        <f t="shared" si="3"/>
        <v>1.25</v>
      </c>
      <c r="AU8" s="177">
        <f t="shared" si="4"/>
        <v>0.30000000000000004</v>
      </c>
      <c r="AV8" s="177">
        <f t="shared" si="5"/>
        <v>0.4</v>
      </c>
      <c r="AW8" s="179"/>
      <c r="AX8" s="173"/>
      <c r="AY8" s="181" t="str">
        <f>IF(AX8="","",VLOOKUP(AX8,Appoggio!$M$3:$N$7,2,0))</f>
        <v/>
      </c>
      <c r="AZ8" s="173"/>
      <c r="BA8" s="173" t="str">
        <f>IF(AZ8="","",VLOOKUP(AZ8,Appoggio!$M$3:$N$7,2,0))</f>
        <v/>
      </c>
      <c r="BB8" s="181">
        <f t="shared" si="6"/>
        <v>1.25</v>
      </c>
      <c r="BC8" s="181">
        <f t="shared" si="7"/>
        <v>0.30000000000000004</v>
      </c>
      <c r="BD8" s="177">
        <f t="shared" si="8"/>
        <v>0.4</v>
      </c>
    </row>
    <row r="9" spans="3:56" ht="130" customHeight="1">
      <c r="C9" s="173">
        <v>3</v>
      </c>
      <c r="D9" s="173" t="s">
        <v>432</v>
      </c>
      <c r="E9" s="182" t="s">
        <v>416</v>
      </c>
      <c r="F9" s="183" t="s">
        <v>417</v>
      </c>
      <c r="G9" s="173" t="s">
        <v>418</v>
      </c>
      <c r="H9" s="173" t="s">
        <v>369</v>
      </c>
      <c r="I9" s="173" t="s">
        <v>175</v>
      </c>
      <c r="J9" s="173"/>
      <c r="K9" s="175" t="s">
        <v>433</v>
      </c>
      <c r="L9" s="175" t="s">
        <v>434</v>
      </c>
      <c r="M9" s="175" t="s">
        <v>435</v>
      </c>
      <c r="N9" s="180" t="s">
        <v>436</v>
      </c>
      <c r="O9" s="184">
        <v>3</v>
      </c>
      <c r="P9" s="184">
        <v>2</v>
      </c>
      <c r="Q9" s="184">
        <v>3</v>
      </c>
      <c r="R9" s="185">
        <v>5</v>
      </c>
      <c r="S9" s="185">
        <v>5</v>
      </c>
      <c r="T9" s="185" t="s">
        <v>69</v>
      </c>
      <c r="U9" s="177">
        <f t="shared" si="0"/>
        <v>5</v>
      </c>
      <c r="V9" s="186">
        <v>3</v>
      </c>
      <c r="W9" s="175">
        <f t="shared" si="1"/>
        <v>15</v>
      </c>
      <c r="X9" s="185" t="s">
        <v>437</v>
      </c>
      <c r="Y9" s="185">
        <v>3</v>
      </c>
      <c r="Z9" s="175">
        <v>4</v>
      </c>
      <c r="AA9" s="185">
        <v>3</v>
      </c>
      <c r="AB9" s="185">
        <v>3</v>
      </c>
      <c r="AC9" s="185">
        <v>3</v>
      </c>
      <c r="AD9" s="185"/>
      <c r="AE9" s="186">
        <f>IF(Y9="","",VLOOKUP(Y9,Appoggio!$M$3:$N$7,2,0))</f>
        <v>0.25</v>
      </c>
      <c r="AF9" s="187">
        <f>IF(Z9="","",VLOOKUP(Z9,Appoggio!$M$3:$N$7,2,0))</f>
        <v>0.1</v>
      </c>
      <c r="AG9" s="185">
        <f>IF(AA9="","",VLOOKUP(AA9,Appoggio!$M$3:$N$7,2,0))</f>
        <v>0.25</v>
      </c>
      <c r="AH9" s="185">
        <f>IF(AB9="","",VLOOKUP(AB9,Appoggio!$M$3:$N$7,2,0))</f>
        <v>0.25</v>
      </c>
      <c r="AI9" s="185">
        <f>IF(AC9="","",VLOOKUP(AC9,Appoggio!$M$3:$N$7,2,0))</f>
        <v>0.25</v>
      </c>
      <c r="AJ9" s="185" t="str">
        <f>IF(AD9="","",VLOOKUP(AD9,Appoggio!$M$3:$N$7,2,0))</f>
        <v/>
      </c>
      <c r="AK9" s="185" t="s">
        <v>438</v>
      </c>
      <c r="AL9" s="185">
        <v>4</v>
      </c>
      <c r="AM9" s="186">
        <f>IF(AL9="","",VLOOKUP(AL9,Appoggio!$M$3:$N$7,2,0))</f>
        <v>0.1</v>
      </c>
      <c r="AN9" s="188">
        <f t="shared" ref="AN9:AN21" si="10">IF(OR(O9="N.A.",O9="",AE9=""),"N.A.",O9*AE9)</f>
        <v>0.75</v>
      </c>
      <c r="AO9" s="188">
        <f t="shared" ref="AO9:AO21" si="11">IF(OR(P9="N.A.",P9="",AF9=""),"N.A.",P9*AF9)</f>
        <v>0.2</v>
      </c>
      <c r="AP9" s="188">
        <f t="shared" ref="AP9:AP21" si="12">IF(OR(Q9="N.A.",Q9="",AG9=""),"N.A.",Q9*AG9)</f>
        <v>0.75</v>
      </c>
      <c r="AQ9" s="188">
        <f t="shared" ref="AQ9:AQ21" si="13">IF(OR(R9="N.A.",R9="",AH9=""),"N.A.",R9*AH9)</f>
        <v>1.25</v>
      </c>
      <c r="AR9" s="188">
        <f t="shared" ref="AR9:AR21" si="14">IF(OR(S9="N.A.",S9="",AI9=""),"N.A.",S9*AI9)</f>
        <v>1.25</v>
      </c>
      <c r="AS9" s="188" t="str">
        <f t="shared" ref="AS9:AS21" si="15">IF(OR(T9="N.A.",T9="",AJ9=""),"N.A.",T9*AJ9)</f>
        <v>N.A.</v>
      </c>
      <c r="AT9" s="177">
        <f t="shared" si="3"/>
        <v>1.25</v>
      </c>
      <c r="AU9" s="177">
        <f t="shared" si="4"/>
        <v>0.30000000000000004</v>
      </c>
      <c r="AV9" s="177">
        <f t="shared" si="5"/>
        <v>0.4</v>
      </c>
      <c r="AW9" s="188"/>
      <c r="AX9" s="173"/>
      <c r="AY9" s="181" t="str">
        <f>IF(AX9="","",VLOOKUP(AX9,Appoggio!$M$3:$N$7,2,0))</f>
        <v/>
      </c>
      <c r="AZ9" s="173"/>
      <c r="BA9" s="173" t="str">
        <f>IF(AZ9="","",VLOOKUP(AZ9,Appoggio!$M$3:$N$7,2,0))</f>
        <v/>
      </c>
      <c r="BB9" s="181">
        <f t="shared" si="6"/>
        <v>1.25</v>
      </c>
      <c r="BC9" s="181">
        <f t="shared" si="7"/>
        <v>0.30000000000000004</v>
      </c>
      <c r="BD9" s="177">
        <f t="shared" si="8"/>
        <v>0.4</v>
      </c>
    </row>
    <row r="10" spans="3:56" ht="130" customHeight="1">
      <c r="C10" s="173">
        <v>4</v>
      </c>
      <c r="D10" s="173" t="s">
        <v>439</v>
      </c>
      <c r="E10" s="184" t="s">
        <v>416</v>
      </c>
      <c r="F10" s="184" t="s">
        <v>417</v>
      </c>
      <c r="G10" s="173" t="s">
        <v>418</v>
      </c>
      <c r="H10" s="173" t="s">
        <v>361</v>
      </c>
      <c r="I10" s="173" t="s">
        <v>65</v>
      </c>
      <c r="J10" s="173"/>
      <c r="K10" s="175" t="s">
        <v>440</v>
      </c>
      <c r="L10" s="175" t="s">
        <v>441</v>
      </c>
      <c r="M10" s="175" t="s">
        <v>442</v>
      </c>
      <c r="N10" s="180" t="s">
        <v>443</v>
      </c>
      <c r="O10" s="184">
        <v>5</v>
      </c>
      <c r="P10" s="184">
        <v>2</v>
      </c>
      <c r="Q10" s="184">
        <v>2</v>
      </c>
      <c r="R10" s="185">
        <v>5</v>
      </c>
      <c r="S10" s="185">
        <v>3</v>
      </c>
      <c r="T10" s="185" t="s">
        <v>69</v>
      </c>
      <c r="U10" s="177">
        <f t="shared" si="0"/>
        <v>5</v>
      </c>
      <c r="V10" s="186">
        <v>3</v>
      </c>
      <c r="W10" s="175">
        <f t="shared" si="1"/>
        <v>15</v>
      </c>
      <c r="X10" s="185" t="s">
        <v>444</v>
      </c>
      <c r="Y10" s="185">
        <v>3</v>
      </c>
      <c r="Z10" s="189">
        <v>4</v>
      </c>
      <c r="AA10" s="185">
        <v>3</v>
      </c>
      <c r="AB10" s="185">
        <v>3</v>
      </c>
      <c r="AC10" s="185">
        <v>3</v>
      </c>
      <c r="AD10" s="185"/>
      <c r="AE10" s="186">
        <f>IF(Y10="","",VLOOKUP(Y10,Appoggio!$M$3:$N$7,2,0))</f>
        <v>0.25</v>
      </c>
      <c r="AF10" s="190">
        <f>IF(Z10="","",VLOOKUP(Z10,Appoggio!$M$3:$N$7,2,0))</f>
        <v>0.1</v>
      </c>
      <c r="AG10" s="185">
        <f>IF(AA10="","",VLOOKUP(AA10,Appoggio!$M$3:$N$7,2,0))</f>
        <v>0.25</v>
      </c>
      <c r="AH10" s="185">
        <f>IF(AB10="","",VLOOKUP(AB10,Appoggio!$M$3:$N$7,2,0))</f>
        <v>0.25</v>
      </c>
      <c r="AI10" s="185">
        <f>IF(AC10="","",VLOOKUP(AC10,Appoggio!$M$3:$N$7,2,0))</f>
        <v>0.25</v>
      </c>
      <c r="AJ10" s="185" t="str">
        <f>IF(AD10="","",VLOOKUP(AD10,Appoggio!$M$3:$N$7,2,0))</f>
        <v/>
      </c>
      <c r="AK10" s="185" t="s">
        <v>445</v>
      </c>
      <c r="AL10" s="185">
        <v>4</v>
      </c>
      <c r="AM10" s="186">
        <f>IF(AL10="","",VLOOKUP(AL10,Appoggio!$M$3:$N$7,2,0))</f>
        <v>0.1</v>
      </c>
      <c r="AN10" s="188">
        <f t="shared" si="10"/>
        <v>1.25</v>
      </c>
      <c r="AO10" s="188">
        <f t="shared" si="11"/>
        <v>0.2</v>
      </c>
      <c r="AP10" s="188">
        <f t="shared" si="12"/>
        <v>0.5</v>
      </c>
      <c r="AQ10" s="188">
        <f t="shared" si="13"/>
        <v>1.25</v>
      </c>
      <c r="AR10" s="188">
        <f t="shared" si="14"/>
        <v>0.75</v>
      </c>
      <c r="AS10" s="188" t="str">
        <f t="shared" si="15"/>
        <v>N.A.</v>
      </c>
      <c r="AT10" s="177">
        <f t="shared" si="3"/>
        <v>1.25</v>
      </c>
      <c r="AU10" s="177">
        <f t="shared" si="4"/>
        <v>0.30000000000000004</v>
      </c>
      <c r="AV10" s="177">
        <f t="shared" si="5"/>
        <v>0.4</v>
      </c>
      <c r="AW10" s="188"/>
      <c r="AX10" s="173"/>
      <c r="AY10" s="181" t="str">
        <f>IF(AX10="","",VLOOKUP(AX10,Appoggio!$M$3:$N$7,2,0))</f>
        <v/>
      </c>
      <c r="AZ10" s="173"/>
      <c r="BA10" s="173" t="str">
        <f>IF(AZ10="","",VLOOKUP(AZ10,Appoggio!$M$3:$N$7,2,0))</f>
        <v/>
      </c>
      <c r="BB10" s="181">
        <f t="shared" si="6"/>
        <v>1.25</v>
      </c>
      <c r="BC10" s="181">
        <f t="shared" si="7"/>
        <v>0.30000000000000004</v>
      </c>
      <c r="BD10" s="177">
        <f t="shared" si="8"/>
        <v>0.4</v>
      </c>
    </row>
    <row r="11" spans="3:56" ht="130" customHeight="1">
      <c r="C11" s="188">
        <v>5</v>
      </c>
      <c r="D11" s="188" t="s">
        <v>446</v>
      </c>
      <c r="E11" s="188" t="s">
        <v>416</v>
      </c>
      <c r="F11" s="188" t="s">
        <v>417</v>
      </c>
      <c r="G11" s="188" t="s">
        <v>418</v>
      </c>
      <c r="H11" s="188" t="s">
        <v>361</v>
      </c>
      <c r="I11" s="188" t="s">
        <v>65</v>
      </c>
      <c r="J11" s="188"/>
      <c r="K11" s="188" t="s">
        <v>447</v>
      </c>
      <c r="L11" s="188" t="s">
        <v>448</v>
      </c>
      <c r="M11" s="188" t="s">
        <v>449</v>
      </c>
      <c r="N11" s="188" t="s">
        <v>450</v>
      </c>
      <c r="O11" s="188">
        <v>5</v>
      </c>
      <c r="P11" s="188">
        <v>2</v>
      </c>
      <c r="Q11" s="188">
        <v>3</v>
      </c>
      <c r="R11" s="188">
        <v>5</v>
      </c>
      <c r="S11" s="188">
        <v>5</v>
      </c>
      <c r="T11" s="188" t="s">
        <v>69</v>
      </c>
      <c r="U11" s="188">
        <f t="shared" si="0"/>
        <v>5</v>
      </c>
      <c r="V11" s="188">
        <v>3</v>
      </c>
      <c r="W11" s="188">
        <f t="shared" si="1"/>
        <v>15</v>
      </c>
      <c r="X11" s="188" t="s">
        <v>451</v>
      </c>
      <c r="Y11" s="188">
        <v>3</v>
      </c>
      <c r="Z11" s="188">
        <v>4</v>
      </c>
      <c r="AA11" s="188">
        <v>4</v>
      </c>
      <c r="AB11" s="188">
        <v>3</v>
      </c>
      <c r="AC11" s="188">
        <v>3</v>
      </c>
      <c r="AD11" s="188"/>
      <c r="AE11" s="188">
        <f>IF(Y11="","",VLOOKUP(Y11,Appoggio!$M$3:$N$7,2,0))</f>
        <v>0.25</v>
      </c>
      <c r="AF11" s="188">
        <f>IF(Z11="","",VLOOKUP(Z11,Appoggio!$M$3:$N$7,2,0))</f>
        <v>0.1</v>
      </c>
      <c r="AG11" s="188">
        <f>IF(AA11="","",VLOOKUP(AA11,Appoggio!$M$3:$N$7,2,0))</f>
        <v>0.1</v>
      </c>
      <c r="AH11" s="188">
        <f>IF(AB11="","",VLOOKUP(AB11,Appoggio!$M$3:$N$7,2,0))</f>
        <v>0.25</v>
      </c>
      <c r="AI11" s="188">
        <f>IF(AC11="","",VLOOKUP(AC11,Appoggio!$M$3:$N$7,2,0))</f>
        <v>0.25</v>
      </c>
      <c r="AJ11" s="188" t="str">
        <f>IF(AD11="","",VLOOKUP(AD11,Appoggio!$M$3:$N$7,2,0))</f>
        <v/>
      </c>
      <c r="AK11" s="188" t="s">
        <v>452</v>
      </c>
      <c r="AL11" s="188">
        <v>4</v>
      </c>
      <c r="AM11" s="188">
        <f>IF(AL11="","",VLOOKUP(AL11,Appoggio!$M$3:$N$7,2,0))</f>
        <v>0.1</v>
      </c>
      <c r="AN11" s="188">
        <f t="shared" si="10"/>
        <v>1.25</v>
      </c>
      <c r="AO11" s="188">
        <f t="shared" si="11"/>
        <v>0.2</v>
      </c>
      <c r="AP11" s="188">
        <f t="shared" si="12"/>
        <v>0.30000000000000004</v>
      </c>
      <c r="AQ11" s="188">
        <f t="shared" si="13"/>
        <v>1.25</v>
      </c>
      <c r="AR11" s="188">
        <f t="shared" si="14"/>
        <v>1.25</v>
      </c>
      <c r="AS11" s="188" t="str">
        <f t="shared" si="15"/>
        <v>N.A.</v>
      </c>
      <c r="AT11" s="188">
        <f t="shared" si="3"/>
        <v>1.25</v>
      </c>
      <c r="AU11" s="188">
        <f t="shared" si="4"/>
        <v>0.30000000000000004</v>
      </c>
      <c r="AV11" s="188">
        <f t="shared" si="5"/>
        <v>0.4</v>
      </c>
      <c r="AW11" s="188"/>
      <c r="AX11" s="188"/>
      <c r="AY11" s="188" t="str">
        <f>IF(AX11="","",VLOOKUP(AX11,Appoggio!$M$3:$N$7,2,0))</f>
        <v/>
      </c>
      <c r="AZ11" s="188"/>
      <c r="BA11" s="188" t="str">
        <f>IF(AZ11="","",VLOOKUP(AZ11,Appoggio!$M$3:$N$7,2,0))</f>
        <v/>
      </c>
      <c r="BB11" s="188">
        <f t="shared" si="6"/>
        <v>1.25</v>
      </c>
      <c r="BC11" s="188">
        <f t="shared" si="7"/>
        <v>0.30000000000000004</v>
      </c>
      <c r="BD11" s="188">
        <f t="shared" si="8"/>
        <v>0.4</v>
      </c>
    </row>
    <row r="12" spans="3:56" ht="130" customHeight="1">
      <c r="C12" s="188">
        <v>6</v>
      </c>
      <c r="D12" s="188" t="s">
        <v>453</v>
      </c>
      <c r="E12" s="188" t="s">
        <v>416</v>
      </c>
      <c r="F12" s="188" t="s">
        <v>417</v>
      </c>
      <c r="G12" s="188" t="s">
        <v>418</v>
      </c>
      <c r="H12" s="188" t="s">
        <v>361</v>
      </c>
      <c r="I12" s="188" t="s">
        <v>65</v>
      </c>
      <c r="J12" s="188"/>
      <c r="K12" s="188" t="s">
        <v>454</v>
      </c>
      <c r="L12" s="188" t="s">
        <v>455</v>
      </c>
      <c r="M12" s="188" t="s">
        <v>456</v>
      </c>
      <c r="N12" s="188" t="s">
        <v>457</v>
      </c>
      <c r="O12" s="188">
        <v>7</v>
      </c>
      <c r="P12" s="188">
        <v>2</v>
      </c>
      <c r="Q12" s="188" t="s">
        <v>69</v>
      </c>
      <c r="R12" s="188">
        <v>5</v>
      </c>
      <c r="S12" s="188">
        <v>3</v>
      </c>
      <c r="T12" s="188" t="s">
        <v>69</v>
      </c>
      <c r="U12" s="188">
        <f t="shared" si="0"/>
        <v>7</v>
      </c>
      <c r="V12" s="188">
        <v>3</v>
      </c>
      <c r="W12" s="188">
        <f t="shared" si="1"/>
        <v>21</v>
      </c>
      <c r="X12" s="188" t="s">
        <v>458</v>
      </c>
      <c r="Y12" s="188">
        <v>3</v>
      </c>
      <c r="Z12" s="188">
        <v>4</v>
      </c>
      <c r="AA12" s="188"/>
      <c r="AB12" s="188">
        <v>3</v>
      </c>
      <c r="AC12" s="188">
        <v>3</v>
      </c>
      <c r="AD12" s="188"/>
      <c r="AE12" s="188">
        <f>IF(Y12="","",VLOOKUP(Y12,Appoggio!$M$3:$N$7,2,0))</f>
        <v>0.25</v>
      </c>
      <c r="AF12" s="188">
        <f>IF(Z12="","",VLOOKUP(Z12,Appoggio!$M$3:$N$7,2,0))</f>
        <v>0.1</v>
      </c>
      <c r="AG12" s="188" t="str">
        <f>IF(AA12="","",VLOOKUP(AA12,Appoggio!$M$3:$N$7,2,0))</f>
        <v/>
      </c>
      <c r="AH12" s="188">
        <f>IF(AB12="","",VLOOKUP(AB12,Appoggio!$M$3:$N$7,2,0))</f>
        <v>0.25</v>
      </c>
      <c r="AI12" s="188">
        <f>IF(AC12="","",VLOOKUP(AC12,Appoggio!$M$3:$N$7,2,0))</f>
        <v>0.25</v>
      </c>
      <c r="AJ12" s="188" t="str">
        <f>IF(AD12="","",VLOOKUP(AD12,Appoggio!$M$3:$N$7,2,0))</f>
        <v/>
      </c>
      <c r="AK12" s="188" t="s">
        <v>459</v>
      </c>
      <c r="AL12" s="188">
        <v>4</v>
      </c>
      <c r="AM12" s="188">
        <f>IF(AL12="","",VLOOKUP(AL12,Appoggio!$M$3:$N$7,2,0))</f>
        <v>0.1</v>
      </c>
      <c r="AN12" s="188">
        <f t="shared" si="10"/>
        <v>1.75</v>
      </c>
      <c r="AO12" s="188">
        <f t="shared" si="11"/>
        <v>0.2</v>
      </c>
      <c r="AP12" s="188" t="str">
        <f t="shared" si="12"/>
        <v>N.A.</v>
      </c>
      <c r="AQ12" s="188">
        <f t="shared" si="13"/>
        <v>1.25</v>
      </c>
      <c r="AR12" s="188">
        <f t="shared" si="14"/>
        <v>0.75</v>
      </c>
      <c r="AS12" s="188" t="str">
        <f t="shared" si="15"/>
        <v>N.A.</v>
      </c>
      <c r="AT12" s="188">
        <f t="shared" si="3"/>
        <v>1.75</v>
      </c>
      <c r="AU12" s="188">
        <f t="shared" si="4"/>
        <v>0.30000000000000004</v>
      </c>
      <c r="AV12" s="188">
        <f t="shared" si="5"/>
        <v>0.5</v>
      </c>
      <c r="AW12" s="188"/>
      <c r="AX12" s="188"/>
      <c r="AY12" s="188" t="str">
        <f>IF(AX12="","",VLOOKUP(AX12,Appoggio!$M$3:$N$7,2,0))</f>
        <v/>
      </c>
      <c r="AZ12" s="188"/>
      <c r="BA12" s="188" t="str">
        <f>IF(AZ12="","",VLOOKUP(AZ12,Appoggio!$M$3:$N$7,2,0))</f>
        <v/>
      </c>
      <c r="BB12" s="188">
        <f t="shared" si="6"/>
        <v>1.75</v>
      </c>
      <c r="BC12" s="188">
        <f t="shared" si="7"/>
        <v>0.30000000000000004</v>
      </c>
      <c r="BD12" s="188">
        <f t="shared" si="8"/>
        <v>0.5</v>
      </c>
    </row>
    <row r="13" spans="3:56" ht="130" customHeight="1">
      <c r="C13" s="188">
        <v>7</v>
      </c>
      <c r="D13" s="188" t="s">
        <v>460</v>
      </c>
      <c r="E13" s="188" t="s">
        <v>416</v>
      </c>
      <c r="F13" s="188" t="s">
        <v>417</v>
      </c>
      <c r="G13" s="188" t="s">
        <v>418</v>
      </c>
      <c r="H13" s="188" t="s">
        <v>361</v>
      </c>
      <c r="I13" s="188" t="s">
        <v>65</v>
      </c>
      <c r="J13" s="188"/>
      <c r="K13" s="188" t="s">
        <v>461</v>
      </c>
      <c r="L13" s="188" t="s">
        <v>462</v>
      </c>
      <c r="M13" s="188" t="s">
        <v>463</v>
      </c>
      <c r="N13" s="188" t="s">
        <v>464</v>
      </c>
      <c r="O13" s="188">
        <v>5</v>
      </c>
      <c r="P13" s="188">
        <v>2</v>
      </c>
      <c r="Q13" s="188" t="s">
        <v>69</v>
      </c>
      <c r="R13" s="188">
        <v>5</v>
      </c>
      <c r="S13" s="188">
        <v>3</v>
      </c>
      <c r="T13" s="188" t="s">
        <v>69</v>
      </c>
      <c r="U13" s="188">
        <f t="shared" si="0"/>
        <v>5</v>
      </c>
      <c r="V13" s="188">
        <v>3</v>
      </c>
      <c r="W13" s="188">
        <f t="shared" si="1"/>
        <v>15</v>
      </c>
      <c r="X13" s="188" t="s">
        <v>465</v>
      </c>
      <c r="Y13" s="188">
        <v>3</v>
      </c>
      <c r="Z13" s="188">
        <v>4</v>
      </c>
      <c r="AA13" s="188"/>
      <c r="AB13" s="188">
        <v>3</v>
      </c>
      <c r="AC13" s="188">
        <v>3</v>
      </c>
      <c r="AD13" s="188"/>
      <c r="AE13" s="188">
        <f>IF(Y13="","",VLOOKUP(Y13,Appoggio!$M$3:$N$7,2,0))</f>
        <v>0.25</v>
      </c>
      <c r="AF13" s="188">
        <f>IF(Z13="","",VLOOKUP(Z13,Appoggio!$M$3:$N$7,2,0))</f>
        <v>0.1</v>
      </c>
      <c r="AG13" s="188" t="str">
        <f>IF(AA13="","",VLOOKUP(AA13,Appoggio!$M$3:$N$7,2,0))</f>
        <v/>
      </c>
      <c r="AH13" s="188">
        <f>IF(AB13="","",VLOOKUP(AB13,Appoggio!$M$3:$N$7,2,0))</f>
        <v>0.25</v>
      </c>
      <c r="AI13" s="188">
        <f>IF(AC13="","",VLOOKUP(AC13,Appoggio!$M$3:$N$7,2,0))</f>
        <v>0.25</v>
      </c>
      <c r="AJ13" s="188" t="str">
        <f>IF(AD13="","",VLOOKUP(AD13,Appoggio!$M$3:$N$7,2,0))</f>
        <v/>
      </c>
      <c r="AK13" s="188" t="s">
        <v>466</v>
      </c>
      <c r="AL13" s="188">
        <v>3</v>
      </c>
      <c r="AM13" s="188">
        <f>IF(AL13="","",VLOOKUP(AL13,Appoggio!$M$3:$N$7,2,0))</f>
        <v>0.25</v>
      </c>
      <c r="AN13" s="188">
        <f t="shared" si="10"/>
        <v>1.25</v>
      </c>
      <c r="AO13" s="188">
        <f t="shared" si="11"/>
        <v>0.2</v>
      </c>
      <c r="AP13" s="188" t="str">
        <f t="shared" si="12"/>
        <v>N.A.</v>
      </c>
      <c r="AQ13" s="188">
        <f t="shared" si="13"/>
        <v>1.25</v>
      </c>
      <c r="AR13" s="188">
        <f t="shared" si="14"/>
        <v>0.75</v>
      </c>
      <c r="AS13" s="188" t="str">
        <f t="shared" si="15"/>
        <v>N.A.</v>
      </c>
      <c r="AT13" s="188">
        <f t="shared" si="3"/>
        <v>1.25</v>
      </c>
      <c r="AU13" s="188">
        <f t="shared" si="4"/>
        <v>0.75</v>
      </c>
      <c r="AV13" s="188">
        <f t="shared" si="5"/>
        <v>0.9</v>
      </c>
      <c r="AW13" s="188"/>
      <c r="AX13" s="188"/>
      <c r="AY13" s="188" t="str">
        <f>IF(AX13="","",VLOOKUP(AX13,Appoggio!$M$3:$N$7,2,0))</f>
        <v/>
      </c>
      <c r="AZ13" s="188"/>
      <c r="BA13" s="188" t="str">
        <f>IF(AZ13="","",VLOOKUP(AZ13,Appoggio!$M$3:$N$7,2,0))</f>
        <v/>
      </c>
      <c r="BB13" s="188">
        <f t="shared" si="6"/>
        <v>1.25</v>
      </c>
      <c r="BC13" s="188">
        <f t="shared" si="7"/>
        <v>0.75</v>
      </c>
      <c r="BD13" s="188">
        <f t="shared" si="8"/>
        <v>0.9</v>
      </c>
    </row>
    <row r="14" spans="3:56" ht="130" customHeight="1">
      <c r="C14" s="188">
        <v>8</v>
      </c>
      <c r="D14" s="188" t="s">
        <v>467</v>
      </c>
      <c r="E14" s="188" t="s">
        <v>416</v>
      </c>
      <c r="F14" s="188" t="s">
        <v>417</v>
      </c>
      <c r="G14" s="188" t="s">
        <v>418</v>
      </c>
      <c r="H14" s="188" t="s">
        <v>369</v>
      </c>
      <c r="I14" s="188" t="s">
        <v>175</v>
      </c>
      <c r="J14" s="188"/>
      <c r="K14" s="188" t="s">
        <v>468</v>
      </c>
      <c r="L14" s="188" t="s">
        <v>469</v>
      </c>
      <c r="M14" s="188" t="s">
        <v>470</v>
      </c>
      <c r="N14" s="188" t="s">
        <v>471</v>
      </c>
      <c r="O14" s="188">
        <v>3</v>
      </c>
      <c r="P14" s="188">
        <v>2</v>
      </c>
      <c r="Q14" s="188">
        <v>3</v>
      </c>
      <c r="R14" s="188">
        <v>5</v>
      </c>
      <c r="S14" s="188">
        <v>5</v>
      </c>
      <c r="T14" s="188" t="s">
        <v>69</v>
      </c>
      <c r="U14" s="188">
        <f t="shared" si="0"/>
        <v>5</v>
      </c>
      <c r="V14" s="188">
        <v>3</v>
      </c>
      <c r="W14" s="188">
        <f t="shared" si="1"/>
        <v>15</v>
      </c>
      <c r="X14" s="188" t="s">
        <v>472</v>
      </c>
      <c r="Y14" s="188">
        <v>3</v>
      </c>
      <c r="Z14" s="188">
        <v>4</v>
      </c>
      <c r="AA14" s="188">
        <v>3</v>
      </c>
      <c r="AB14" s="188">
        <v>3</v>
      </c>
      <c r="AC14" s="188">
        <v>3</v>
      </c>
      <c r="AD14" s="188"/>
      <c r="AE14" s="188">
        <f>IF(Y14="","",VLOOKUP(Y14,Appoggio!$M$3:$N$7,2,0))</f>
        <v>0.25</v>
      </c>
      <c r="AF14" s="188">
        <f>IF(Z14="","",VLOOKUP(Z14,Appoggio!$M$3:$N$7,2,0))</f>
        <v>0.1</v>
      </c>
      <c r="AG14" s="188">
        <f>IF(AA14="","",VLOOKUP(AA14,Appoggio!$M$3:$N$7,2,0))</f>
        <v>0.25</v>
      </c>
      <c r="AH14" s="188">
        <f>IF(AB14="","",VLOOKUP(AB14,Appoggio!$M$3:$N$7,2,0))</f>
        <v>0.25</v>
      </c>
      <c r="AI14" s="188">
        <f>IF(AC14="","",VLOOKUP(AC14,Appoggio!$M$3:$N$7,2,0))</f>
        <v>0.25</v>
      </c>
      <c r="AJ14" s="188" t="str">
        <f>IF(AD14="","",VLOOKUP(AD14,Appoggio!$M$3:$N$7,2,0))</f>
        <v/>
      </c>
      <c r="AK14" s="188" t="s">
        <v>473</v>
      </c>
      <c r="AL14" s="188">
        <v>4</v>
      </c>
      <c r="AM14" s="188">
        <f>IF(AL14="","",VLOOKUP(AL14,Appoggio!$M$3:$N$7,2,0))</f>
        <v>0.1</v>
      </c>
      <c r="AN14" s="188">
        <f t="shared" si="10"/>
        <v>0.75</v>
      </c>
      <c r="AO14" s="188">
        <f t="shared" si="11"/>
        <v>0.2</v>
      </c>
      <c r="AP14" s="188">
        <f t="shared" si="12"/>
        <v>0.75</v>
      </c>
      <c r="AQ14" s="188">
        <f t="shared" si="13"/>
        <v>1.25</v>
      </c>
      <c r="AR14" s="188">
        <f t="shared" si="14"/>
        <v>1.25</v>
      </c>
      <c r="AS14" s="188" t="str">
        <f t="shared" si="15"/>
        <v>N.A.</v>
      </c>
      <c r="AT14" s="188">
        <f t="shared" si="3"/>
        <v>1.25</v>
      </c>
      <c r="AU14" s="188">
        <f t="shared" si="4"/>
        <v>0.30000000000000004</v>
      </c>
      <c r="AV14" s="188">
        <f t="shared" si="5"/>
        <v>0.4</v>
      </c>
      <c r="AW14" s="188"/>
      <c r="AX14" s="188"/>
      <c r="AY14" s="188" t="str">
        <f>IF(AX14="","",VLOOKUP(AX14,Appoggio!$M$3:$N$7,2,0))</f>
        <v/>
      </c>
      <c r="AZ14" s="188"/>
      <c r="BA14" s="188" t="str">
        <f>IF(AZ14="","",VLOOKUP(AZ14,Appoggio!$M$3:$N$7,2,0))</f>
        <v/>
      </c>
      <c r="BB14" s="188">
        <f t="shared" si="6"/>
        <v>1.25</v>
      </c>
      <c r="BC14" s="188">
        <f t="shared" si="7"/>
        <v>0.30000000000000004</v>
      </c>
      <c r="BD14" s="188">
        <f t="shared" si="8"/>
        <v>0.4</v>
      </c>
    </row>
    <row r="15" spans="3:56" ht="130" customHeight="1">
      <c r="C15" s="188">
        <v>9</v>
      </c>
      <c r="D15" s="188" t="s">
        <v>474</v>
      </c>
      <c r="E15" s="188" t="s">
        <v>416</v>
      </c>
      <c r="F15" s="188" t="s">
        <v>417</v>
      </c>
      <c r="G15" s="188" t="s">
        <v>418</v>
      </c>
      <c r="H15" s="188" t="s">
        <v>361</v>
      </c>
      <c r="I15" s="188" t="s">
        <v>65</v>
      </c>
      <c r="J15" s="188"/>
      <c r="K15" s="188" t="s">
        <v>475</v>
      </c>
      <c r="L15" s="188" t="s">
        <v>476</v>
      </c>
      <c r="M15" s="188" t="s">
        <v>477</v>
      </c>
      <c r="N15" s="188" t="s">
        <v>478</v>
      </c>
      <c r="O15" s="188">
        <v>5</v>
      </c>
      <c r="P15" s="188">
        <v>2</v>
      </c>
      <c r="Q15" s="188">
        <v>5</v>
      </c>
      <c r="R15" s="188">
        <v>5</v>
      </c>
      <c r="S15" s="188">
        <v>5</v>
      </c>
      <c r="T15" s="188">
        <v>3</v>
      </c>
      <c r="U15" s="188">
        <f t="shared" si="0"/>
        <v>5</v>
      </c>
      <c r="V15" s="188">
        <v>3</v>
      </c>
      <c r="W15" s="188">
        <f t="shared" si="1"/>
        <v>15</v>
      </c>
      <c r="X15" s="188" t="s">
        <v>479</v>
      </c>
      <c r="Y15" s="188">
        <v>3</v>
      </c>
      <c r="Z15" s="188">
        <v>4</v>
      </c>
      <c r="AA15" s="188">
        <v>4</v>
      </c>
      <c r="AB15" s="188">
        <v>3</v>
      </c>
      <c r="AC15" s="188">
        <v>3</v>
      </c>
      <c r="AD15" s="188">
        <v>3</v>
      </c>
      <c r="AE15" s="188">
        <f>IF(Y15="","",VLOOKUP(Y15,Appoggio!$M$3:$N$7,2,0))</f>
        <v>0.25</v>
      </c>
      <c r="AF15" s="188">
        <f>IF(Z15="","",VLOOKUP(Z15,Appoggio!$M$3:$N$7,2,0))</f>
        <v>0.1</v>
      </c>
      <c r="AG15" s="188">
        <f>IF(AA15="","",VLOOKUP(AA15,Appoggio!$M$3:$N$7,2,0))</f>
        <v>0.1</v>
      </c>
      <c r="AH15" s="188">
        <f>IF(AB15="","",VLOOKUP(AB15,Appoggio!$M$3:$N$7,2,0))</f>
        <v>0.25</v>
      </c>
      <c r="AI15" s="188">
        <f>IF(AC15="","",VLOOKUP(AC15,Appoggio!$M$3:$N$7,2,0))</f>
        <v>0.25</v>
      </c>
      <c r="AJ15" s="188">
        <f>IF(AD15="","",VLOOKUP(AD15,Appoggio!$M$3:$N$7,2,0))</f>
        <v>0.25</v>
      </c>
      <c r="AK15" s="188" t="s">
        <v>480</v>
      </c>
      <c r="AL15" s="188">
        <v>4</v>
      </c>
      <c r="AM15" s="188">
        <f>IF(AL15="","",VLOOKUP(AL15,Appoggio!$M$3:$N$7,2,0))</f>
        <v>0.1</v>
      </c>
      <c r="AN15" s="188">
        <f t="shared" si="10"/>
        <v>1.25</v>
      </c>
      <c r="AO15" s="188">
        <f t="shared" si="11"/>
        <v>0.2</v>
      </c>
      <c r="AP15" s="188">
        <f t="shared" si="12"/>
        <v>0.5</v>
      </c>
      <c r="AQ15" s="188">
        <f t="shared" si="13"/>
        <v>1.25</v>
      </c>
      <c r="AR15" s="188">
        <f t="shared" si="14"/>
        <v>1.25</v>
      </c>
      <c r="AS15" s="188">
        <f t="shared" si="15"/>
        <v>0.75</v>
      </c>
      <c r="AT15" s="188">
        <f t="shared" si="3"/>
        <v>1.25</v>
      </c>
      <c r="AU15" s="188">
        <f t="shared" si="4"/>
        <v>0.30000000000000004</v>
      </c>
      <c r="AV15" s="188">
        <f t="shared" si="5"/>
        <v>0.4</v>
      </c>
      <c r="AW15" s="188"/>
      <c r="AX15" s="188"/>
      <c r="AY15" s="188" t="str">
        <f>IF(AX15="","",VLOOKUP(AX15,Appoggio!$M$3:$N$7,2,0))</f>
        <v/>
      </c>
      <c r="AZ15" s="188"/>
      <c r="BA15" s="188" t="str">
        <f>IF(AZ15="","",VLOOKUP(AZ15,Appoggio!$M$3:$N$7,2,0))</f>
        <v/>
      </c>
      <c r="BB15" s="188">
        <f t="shared" si="6"/>
        <v>1.25</v>
      </c>
      <c r="BC15" s="188">
        <f t="shared" si="7"/>
        <v>0.30000000000000004</v>
      </c>
      <c r="BD15" s="188">
        <f t="shared" si="8"/>
        <v>0.4</v>
      </c>
    </row>
    <row r="16" spans="3:56" ht="130" customHeight="1">
      <c r="C16" s="188">
        <v>10</v>
      </c>
      <c r="D16" s="188" t="s">
        <v>481</v>
      </c>
      <c r="E16" s="188" t="s">
        <v>416</v>
      </c>
      <c r="F16" s="188" t="s">
        <v>417</v>
      </c>
      <c r="G16" s="188" t="s">
        <v>418</v>
      </c>
      <c r="H16" s="188" t="s">
        <v>369</v>
      </c>
      <c r="I16" s="188" t="s">
        <v>175</v>
      </c>
      <c r="J16" s="188"/>
      <c r="K16" s="188" t="s">
        <v>482</v>
      </c>
      <c r="L16" s="188" t="s">
        <v>483</v>
      </c>
      <c r="M16" s="188" t="s">
        <v>484</v>
      </c>
      <c r="N16" s="188" t="s">
        <v>485</v>
      </c>
      <c r="O16" s="188">
        <v>5</v>
      </c>
      <c r="P16" s="188">
        <v>2</v>
      </c>
      <c r="Q16" s="188">
        <v>3</v>
      </c>
      <c r="R16" s="188">
        <v>5</v>
      </c>
      <c r="S16" s="188">
        <v>5</v>
      </c>
      <c r="T16" s="188" t="s">
        <v>69</v>
      </c>
      <c r="U16" s="188">
        <f t="shared" si="0"/>
        <v>5</v>
      </c>
      <c r="V16" s="188">
        <v>3</v>
      </c>
      <c r="W16" s="188">
        <f t="shared" si="1"/>
        <v>15</v>
      </c>
      <c r="X16" s="188" t="s">
        <v>486</v>
      </c>
      <c r="Y16" s="188">
        <v>3</v>
      </c>
      <c r="Z16" s="188">
        <v>4</v>
      </c>
      <c r="AA16" s="188">
        <v>3</v>
      </c>
      <c r="AB16" s="188">
        <v>3</v>
      </c>
      <c r="AC16" s="188">
        <v>3</v>
      </c>
      <c r="AD16" s="188"/>
      <c r="AE16" s="188">
        <f>IF(Y16="","",VLOOKUP(Y16,Appoggio!$M$3:$N$7,2,0))</f>
        <v>0.25</v>
      </c>
      <c r="AF16" s="188">
        <f>IF(Z16="","",VLOOKUP(Z16,Appoggio!$M$3:$N$7,2,0))</f>
        <v>0.1</v>
      </c>
      <c r="AG16" s="188">
        <f>IF(AA16="","",VLOOKUP(AA16,Appoggio!$M$3:$N$7,2,0))</f>
        <v>0.25</v>
      </c>
      <c r="AH16" s="188">
        <f>IF(AB16="","",VLOOKUP(AB16,Appoggio!$M$3:$N$7,2,0))</f>
        <v>0.25</v>
      </c>
      <c r="AI16" s="188">
        <f>IF(AC16="","",VLOOKUP(AC16,Appoggio!$M$3:$N$7,2,0))</f>
        <v>0.25</v>
      </c>
      <c r="AJ16" s="188" t="str">
        <f>IF(AD16="","",VLOOKUP(AD16,Appoggio!$M$3:$N$7,2,0))</f>
        <v/>
      </c>
      <c r="AK16" s="188" t="s">
        <v>487</v>
      </c>
      <c r="AL16" s="188">
        <v>3</v>
      </c>
      <c r="AM16" s="188">
        <f>IF(AL16="","",VLOOKUP(AL16,Appoggio!$M$3:$N$7,2,0))</f>
        <v>0.25</v>
      </c>
      <c r="AN16" s="188">
        <f t="shared" si="10"/>
        <v>1.25</v>
      </c>
      <c r="AO16" s="188">
        <f t="shared" si="11"/>
        <v>0.2</v>
      </c>
      <c r="AP16" s="188">
        <f t="shared" si="12"/>
        <v>0.75</v>
      </c>
      <c r="AQ16" s="188">
        <f t="shared" si="13"/>
        <v>1.25</v>
      </c>
      <c r="AR16" s="188">
        <f t="shared" si="14"/>
        <v>1.25</v>
      </c>
      <c r="AS16" s="188" t="str">
        <f t="shared" si="15"/>
        <v>N.A.</v>
      </c>
      <c r="AT16" s="188">
        <f t="shared" si="3"/>
        <v>1.25</v>
      </c>
      <c r="AU16" s="188">
        <f t="shared" si="4"/>
        <v>0.75</v>
      </c>
      <c r="AV16" s="188">
        <f t="shared" si="5"/>
        <v>0.9</v>
      </c>
      <c r="AW16" s="188"/>
      <c r="AX16" s="188"/>
      <c r="AY16" s="188" t="str">
        <f>IF(AX16="","",VLOOKUP(AX16,Appoggio!$M$3:$N$7,2,0))</f>
        <v/>
      </c>
      <c r="AZ16" s="188"/>
      <c r="BA16" s="188" t="str">
        <f>IF(AZ16="","",VLOOKUP(AZ16,Appoggio!$M$3:$N$7,2,0))</f>
        <v/>
      </c>
      <c r="BB16" s="188">
        <f t="shared" si="6"/>
        <v>1.25</v>
      </c>
      <c r="BC16" s="188">
        <f t="shared" si="7"/>
        <v>0.75</v>
      </c>
      <c r="BD16" s="188">
        <f t="shared" si="8"/>
        <v>0.9</v>
      </c>
    </row>
    <row r="17" spans="3:56" ht="130" customHeight="1">
      <c r="C17" s="188">
        <v>11</v>
      </c>
      <c r="D17" s="188" t="s">
        <v>488</v>
      </c>
      <c r="E17" s="188" t="s">
        <v>416</v>
      </c>
      <c r="F17" s="188" t="s">
        <v>417</v>
      </c>
      <c r="G17" s="188" t="s">
        <v>418</v>
      </c>
      <c r="H17" s="188" t="s">
        <v>369</v>
      </c>
      <c r="I17" s="188" t="s">
        <v>193</v>
      </c>
      <c r="J17" s="188" t="s">
        <v>199</v>
      </c>
      <c r="K17" s="188" t="s">
        <v>489</v>
      </c>
      <c r="L17" s="188" t="s">
        <v>490</v>
      </c>
      <c r="M17" s="188" t="s">
        <v>491</v>
      </c>
      <c r="N17" s="188" t="s">
        <v>492</v>
      </c>
      <c r="O17" s="188">
        <v>3</v>
      </c>
      <c r="P17" s="188">
        <v>2</v>
      </c>
      <c r="Q17" s="188">
        <v>3</v>
      </c>
      <c r="R17" s="188">
        <v>5</v>
      </c>
      <c r="S17" s="188">
        <v>5</v>
      </c>
      <c r="T17" s="188" t="s">
        <v>69</v>
      </c>
      <c r="U17" s="188">
        <f t="shared" si="0"/>
        <v>5</v>
      </c>
      <c r="V17" s="188">
        <v>3</v>
      </c>
      <c r="W17" s="188">
        <f t="shared" si="1"/>
        <v>15</v>
      </c>
      <c r="X17" s="188" t="s">
        <v>493</v>
      </c>
      <c r="Y17" s="188">
        <v>3</v>
      </c>
      <c r="Z17" s="188">
        <v>4</v>
      </c>
      <c r="AA17" s="188">
        <v>3</v>
      </c>
      <c r="AB17" s="188">
        <v>3</v>
      </c>
      <c r="AC17" s="188">
        <v>3</v>
      </c>
      <c r="AD17" s="188"/>
      <c r="AE17" s="188">
        <f>IF(Y17="","",VLOOKUP(Y17,Appoggio!$M$3:$N$7,2,0))</f>
        <v>0.25</v>
      </c>
      <c r="AF17" s="188">
        <f>IF(Z17="","",VLOOKUP(Z17,Appoggio!$M$3:$N$7,2,0))</f>
        <v>0.1</v>
      </c>
      <c r="AG17" s="188">
        <f>IF(AA17="","",VLOOKUP(AA17,Appoggio!$M$3:$N$7,2,0))</f>
        <v>0.25</v>
      </c>
      <c r="AH17" s="188">
        <f>IF(AB17="","",VLOOKUP(AB17,Appoggio!$M$3:$N$7,2,0))</f>
        <v>0.25</v>
      </c>
      <c r="AI17" s="188">
        <f>IF(AC17="","",VLOOKUP(AC17,Appoggio!$M$3:$N$7,2,0))</f>
        <v>0.25</v>
      </c>
      <c r="AJ17" s="188" t="str">
        <f>IF(AD17="","",VLOOKUP(AD17,Appoggio!$M$3:$N$7,2,0))</f>
        <v/>
      </c>
      <c r="AK17" s="188" t="s">
        <v>494</v>
      </c>
      <c r="AL17" s="188">
        <v>4</v>
      </c>
      <c r="AM17" s="188">
        <f>IF(AL17="","",VLOOKUP(AL17,Appoggio!$M$3:$N$7,2,0))</f>
        <v>0.1</v>
      </c>
      <c r="AN17" s="188">
        <f t="shared" si="10"/>
        <v>0.75</v>
      </c>
      <c r="AO17" s="188">
        <f t="shared" si="11"/>
        <v>0.2</v>
      </c>
      <c r="AP17" s="188">
        <f t="shared" si="12"/>
        <v>0.75</v>
      </c>
      <c r="AQ17" s="188">
        <f t="shared" si="13"/>
        <v>1.25</v>
      </c>
      <c r="AR17" s="188">
        <f t="shared" si="14"/>
        <v>1.25</v>
      </c>
      <c r="AS17" s="188" t="str">
        <f t="shared" si="15"/>
        <v>N.A.</v>
      </c>
      <c r="AT17" s="188">
        <f t="shared" si="3"/>
        <v>1.25</v>
      </c>
      <c r="AU17" s="188">
        <f t="shared" si="4"/>
        <v>0.30000000000000004</v>
      </c>
      <c r="AV17" s="188">
        <f t="shared" si="5"/>
        <v>0.4</v>
      </c>
      <c r="AW17" s="188"/>
      <c r="AX17" s="188"/>
      <c r="AY17" s="188" t="str">
        <f>IF(AX17="","",VLOOKUP(AX17,Appoggio!$M$3:$N$7,2,0))</f>
        <v/>
      </c>
      <c r="AZ17" s="188"/>
      <c r="BA17" s="188" t="str">
        <f>IF(AZ17="","",VLOOKUP(AZ17,Appoggio!$M$3:$N$7,2,0))</f>
        <v/>
      </c>
      <c r="BB17" s="188">
        <f t="shared" si="6"/>
        <v>1.25</v>
      </c>
      <c r="BC17" s="188">
        <f t="shared" si="7"/>
        <v>0.30000000000000004</v>
      </c>
      <c r="BD17" s="188">
        <f t="shared" si="8"/>
        <v>0.4</v>
      </c>
    </row>
    <row r="18" spans="3:56" ht="130" customHeight="1">
      <c r="C18" s="188">
        <v>12</v>
      </c>
      <c r="D18" s="188" t="s">
        <v>495</v>
      </c>
      <c r="E18" s="188" t="s">
        <v>416</v>
      </c>
      <c r="F18" s="188" t="s">
        <v>417</v>
      </c>
      <c r="G18" s="188" t="s">
        <v>418</v>
      </c>
      <c r="H18" s="188" t="s">
        <v>369</v>
      </c>
      <c r="I18" s="188" t="s">
        <v>175</v>
      </c>
      <c r="J18" s="188"/>
      <c r="K18" s="188" t="s">
        <v>496</v>
      </c>
      <c r="L18" s="188" t="s">
        <v>497</v>
      </c>
      <c r="M18" s="188" t="s">
        <v>498</v>
      </c>
      <c r="N18" s="188" t="s">
        <v>499</v>
      </c>
      <c r="O18" s="188">
        <v>3</v>
      </c>
      <c r="P18" s="188">
        <v>2</v>
      </c>
      <c r="Q18" s="188">
        <v>3</v>
      </c>
      <c r="R18" s="188">
        <v>5</v>
      </c>
      <c r="S18" s="188">
        <v>5</v>
      </c>
      <c r="T18" s="188" t="s">
        <v>69</v>
      </c>
      <c r="U18" s="188">
        <f t="shared" si="0"/>
        <v>5</v>
      </c>
      <c r="V18" s="188">
        <v>3</v>
      </c>
      <c r="W18" s="188">
        <f t="shared" si="1"/>
        <v>15</v>
      </c>
      <c r="X18" s="188" t="s">
        <v>500</v>
      </c>
      <c r="Y18" s="188">
        <v>3</v>
      </c>
      <c r="Z18" s="188">
        <v>4</v>
      </c>
      <c r="AA18" s="188">
        <v>3</v>
      </c>
      <c r="AB18" s="188">
        <v>3</v>
      </c>
      <c r="AC18" s="188">
        <v>3</v>
      </c>
      <c r="AD18" s="188"/>
      <c r="AE18" s="188">
        <f>IF(Y18="","",VLOOKUP(Y18,Appoggio!$M$3:$N$7,2,0))</f>
        <v>0.25</v>
      </c>
      <c r="AF18" s="188">
        <f>IF(Z18="","",VLOOKUP(Z18,Appoggio!$M$3:$N$7,2,0))</f>
        <v>0.1</v>
      </c>
      <c r="AG18" s="188">
        <f>IF(AA18="","",VLOOKUP(AA18,Appoggio!$M$3:$N$7,2,0))</f>
        <v>0.25</v>
      </c>
      <c r="AH18" s="188">
        <f>IF(AB18="","",VLOOKUP(AB18,Appoggio!$M$3:$N$7,2,0))</f>
        <v>0.25</v>
      </c>
      <c r="AI18" s="188">
        <f>IF(AC18="","",VLOOKUP(AC18,Appoggio!$M$3:$N$7,2,0))</f>
        <v>0.25</v>
      </c>
      <c r="AJ18" s="188" t="str">
        <f>IF(AD18="","",VLOOKUP(AD18,Appoggio!$M$3:$N$7,2,0))</f>
        <v/>
      </c>
      <c r="AK18" s="188" t="s">
        <v>501</v>
      </c>
      <c r="AL18" s="188">
        <v>4</v>
      </c>
      <c r="AM18" s="188">
        <f>IF(AL18="","",VLOOKUP(AL18,Appoggio!$M$3:$N$7,2,0))</f>
        <v>0.1</v>
      </c>
      <c r="AN18" s="188">
        <f t="shared" si="10"/>
        <v>0.75</v>
      </c>
      <c r="AO18" s="188">
        <f t="shared" si="11"/>
        <v>0.2</v>
      </c>
      <c r="AP18" s="188">
        <f t="shared" si="12"/>
        <v>0.75</v>
      </c>
      <c r="AQ18" s="188">
        <f t="shared" si="13"/>
        <v>1.25</v>
      </c>
      <c r="AR18" s="188">
        <f t="shared" si="14"/>
        <v>1.25</v>
      </c>
      <c r="AS18" s="188" t="str">
        <f t="shared" si="15"/>
        <v>N.A.</v>
      </c>
      <c r="AT18" s="188">
        <f t="shared" si="3"/>
        <v>1.25</v>
      </c>
      <c r="AU18" s="188">
        <f t="shared" si="4"/>
        <v>0.30000000000000004</v>
      </c>
      <c r="AV18" s="188">
        <f t="shared" si="5"/>
        <v>0.4</v>
      </c>
      <c r="AW18" s="188"/>
      <c r="AX18" s="188"/>
      <c r="AY18" s="188" t="str">
        <f>IF(AX18="","",VLOOKUP(AX18,Appoggio!$M$3:$N$7,2,0))</f>
        <v/>
      </c>
      <c r="AZ18" s="188"/>
      <c r="BA18" s="188" t="str">
        <f>IF(AZ18="","",VLOOKUP(AZ18,Appoggio!$M$3:$N$7,2,0))</f>
        <v/>
      </c>
      <c r="BB18" s="188">
        <f t="shared" si="6"/>
        <v>1.25</v>
      </c>
      <c r="BC18" s="188">
        <f t="shared" si="7"/>
        <v>0.30000000000000004</v>
      </c>
      <c r="BD18" s="188">
        <f t="shared" si="8"/>
        <v>0.4</v>
      </c>
    </row>
    <row r="19" spans="3:56" ht="130" customHeight="1">
      <c r="C19" s="188">
        <v>13</v>
      </c>
      <c r="D19" s="188" t="s">
        <v>502</v>
      </c>
      <c r="E19" s="188" t="s">
        <v>416</v>
      </c>
      <c r="F19" s="188" t="s">
        <v>417</v>
      </c>
      <c r="G19" s="188" t="s">
        <v>418</v>
      </c>
      <c r="H19" s="188" t="s">
        <v>369</v>
      </c>
      <c r="I19" s="188" t="s">
        <v>193</v>
      </c>
      <c r="J19" s="188" t="s">
        <v>197</v>
      </c>
      <c r="K19" s="188" t="s">
        <v>503</v>
      </c>
      <c r="L19" s="188" t="s">
        <v>504</v>
      </c>
      <c r="M19" s="188" t="s">
        <v>505</v>
      </c>
      <c r="N19" s="188" t="s">
        <v>506</v>
      </c>
      <c r="O19" s="188">
        <v>5</v>
      </c>
      <c r="P19" s="188">
        <v>2</v>
      </c>
      <c r="Q19" s="188">
        <v>3</v>
      </c>
      <c r="R19" s="188">
        <v>5</v>
      </c>
      <c r="S19" s="188">
        <v>5</v>
      </c>
      <c r="T19" s="188" t="s">
        <v>69</v>
      </c>
      <c r="U19" s="188">
        <f t="shared" si="0"/>
        <v>5</v>
      </c>
      <c r="V19" s="188">
        <v>3</v>
      </c>
      <c r="W19" s="188">
        <f t="shared" si="1"/>
        <v>15</v>
      </c>
      <c r="X19" s="188" t="s">
        <v>507</v>
      </c>
      <c r="Y19" s="188">
        <v>3</v>
      </c>
      <c r="Z19" s="188">
        <v>4</v>
      </c>
      <c r="AA19" s="188">
        <v>3</v>
      </c>
      <c r="AB19" s="188">
        <v>3</v>
      </c>
      <c r="AC19" s="188">
        <v>3</v>
      </c>
      <c r="AD19" s="188"/>
      <c r="AE19" s="188">
        <f>IF(Y19="","",VLOOKUP(Y19,Appoggio!$M$3:$N$7,2,0))</f>
        <v>0.25</v>
      </c>
      <c r="AF19" s="188">
        <f>IF(Z19="","",VLOOKUP(Z19,Appoggio!$M$3:$N$7,2,0))</f>
        <v>0.1</v>
      </c>
      <c r="AG19" s="188">
        <f>IF(AA19="","",VLOOKUP(AA19,Appoggio!$M$3:$N$7,2,0))</f>
        <v>0.25</v>
      </c>
      <c r="AH19" s="188">
        <f>IF(AB19="","",VLOOKUP(AB19,Appoggio!$M$3:$N$7,2,0))</f>
        <v>0.25</v>
      </c>
      <c r="AI19" s="188">
        <f>IF(AC19="","",VLOOKUP(AC19,Appoggio!$M$3:$N$7,2,0))</f>
        <v>0.25</v>
      </c>
      <c r="AJ19" s="188" t="str">
        <f>IF(AD19="","",VLOOKUP(AD19,Appoggio!$M$3:$N$7,2,0))</f>
        <v/>
      </c>
      <c r="AK19" s="188" t="s">
        <v>508</v>
      </c>
      <c r="AL19" s="188">
        <v>3</v>
      </c>
      <c r="AM19" s="188">
        <f>IF(AL19="","",VLOOKUP(AL19,Appoggio!$M$3:$N$7,2,0))</f>
        <v>0.25</v>
      </c>
      <c r="AN19" s="188">
        <f t="shared" si="10"/>
        <v>1.25</v>
      </c>
      <c r="AO19" s="188">
        <f t="shared" si="11"/>
        <v>0.2</v>
      </c>
      <c r="AP19" s="188">
        <f t="shared" si="12"/>
        <v>0.75</v>
      </c>
      <c r="AQ19" s="188">
        <f t="shared" si="13"/>
        <v>1.25</v>
      </c>
      <c r="AR19" s="188">
        <f t="shared" si="14"/>
        <v>1.25</v>
      </c>
      <c r="AS19" s="188" t="str">
        <f t="shared" si="15"/>
        <v>N.A.</v>
      </c>
      <c r="AT19" s="188">
        <f t="shared" si="3"/>
        <v>1.25</v>
      </c>
      <c r="AU19" s="188">
        <f t="shared" si="4"/>
        <v>0.75</v>
      </c>
      <c r="AV19" s="188">
        <f t="shared" si="5"/>
        <v>0.9</v>
      </c>
      <c r="AW19" s="188"/>
      <c r="AX19" s="188"/>
      <c r="AY19" s="188" t="str">
        <f>IF(AX19="","",VLOOKUP(AX19,Appoggio!$M$3:$N$7,2,0))</f>
        <v/>
      </c>
      <c r="AZ19" s="188"/>
      <c r="BA19" s="188" t="str">
        <f>IF(AZ19="","",VLOOKUP(AZ19,Appoggio!$M$3:$N$7,2,0))</f>
        <v/>
      </c>
      <c r="BB19" s="188">
        <f t="shared" si="6"/>
        <v>1.25</v>
      </c>
      <c r="BC19" s="188">
        <f t="shared" si="7"/>
        <v>0.75</v>
      </c>
      <c r="BD19" s="188">
        <f t="shared" si="8"/>
        <v>0.9</v>
      </c>
    </row>
    <row r="20" spans="3:56" ht="130" customHeight="1">
      <c r="C20" s="188">
        <v>14</v>
      </c>
      <c r="D20" s="188" t="s">
        <v>509</v>
      </c>
      <c r="E20" s="188" t="s">
        <v>416</v>
      </c>
      <c r="F20" s="188" t="s">
        <v>417</v>
      </c>
      <c r="G20" s="188" t="s">
        <v>418</v>
      </c>
      <c r="H20" s="188" t="s">
        <v>369</v>
      </c>
      <c r="I20" s="188" t="s">
        <v>175</v>
      </c>
      <c r="J20" s="188"/>
      <c r="K20" s="188" t="s">
        <v>510</v>
      </c>
      <c r="L20" s="188" t="s">
        <v>511</v>
      </c>
      <c r="M20" s="188" t="s">
        <v>512</v>
      </c>
      <c r="N20" s="188" t="s">
        <v>513</v>
      </c>
      <c r="O20" s="188">
        <v>3</v>
      </c>
      <c r="P20" s="188">
        <v>2</v>
      </c>
      <c r="Q20" s="188">
        <v>5</v>
      </c>
      <c r="R20" s="188">
        <v>5</v>
      </c>
      <c r="S20" s="188">
        <v>5</v>
      </c>
      <c r="T20" s="188">
        <v>3</v>
      </c>
      <c r="U20" s="188">
        <f t="shared" si="0"/>
        <v>5</v>
      </c>
      <c r="V20" s="188">
        <v>3</v>
      </c>
      <c r="W20" s="188">
        <f t="shared" si="1"/>
        <v>15</v>
      </c>
      <c r="X20" s="188" t="s">
        <v>514</v>
      </c>
      <c r="Y20" s="188">
        <v>3</v>
      </c>
      <c r="Z20" s="188">
        <v>4</v>
      </c>
      <c r="AA20" s="188">
        <v>4</v>
      </c>
      <c r="AB20" s="188">
        <v>3</v>
      </c>
      <c r="AC20" s="188">
        <v>3</v>
      </c>
      <c r="AD20" s="188">
        <v>3</v>
      </c>
      <c r="AE20" s="188">
        <f>IF(Y20="","",VLOOKUP(Y20,Appoggio!$M$3:$N$7,2,0))</f>
        <v>0.25</v>
      </c>
      <c r="AF20" s="188">
        <f>IF(Z20="","",VLOOKUP(Z20,Appoggio!$M$3:$N$7,2,0))</f>
        <v>0.1</v>
      </c>
      <c r="AG20" s="188">
        <f>IF(AA20="","",VLOOKUP(AA20,Appoggio!$M$3:$N$7,2,0))</f>
        <v>0.1</v>
      </c>
      <c r="AH20" s="188">
        <f>IF(AB20="","",VLOOKUP(AB20,Appoggio!$M$3:$N$7,2,0))</f>
        <v>0.25</v>
      </c>
      <c r="AI20" s="188">
        <f>IF(AC20="","",VLOOKUP(AC20,Appoggio!$M$3:$N$7,2,0))</f>
        <v>0.25</v>
      </c>
      <c r="AJ20" s="188">
        <f>IF(AD20="","",VLOOKUP(AD20,Appoggio!$M$3:$N$7,2,0))</f>
        <v>0.25</v>
      </c>
      <c r="AK20" s="188" t="s">
        <v>515</v>
      </c>
      <c r="AL20" s="188">
        <v>4</v>
      </c>
      <c r="AM20" s="188">
        <f>IF(AL20="","",VLOOKUP(AL20,Appoggio!$M$3:$N$7,2,0))</f>
        <v>0.1</v>
      </c>
      <c r="AN20" s="188">
        <f t="shared" si="10"/>
        <v>0.75</v>
      </c>
      <c r="AO20" s="188">
        <f t="shared" si="11"/>
        <v>0.2</v>
      </c>
      <c r="AP20" s="188">
        <f t="shared" si="12"/>
        <v>0.5</v>
      </c>
      <c r="AQ20" s="188">
        <f t="shared" si="13"/>
        <v>1.25</v>
      </c>
      <c r="AR20" s="188">
        <f t="shared" si="14"/>
        <v>1.25</v>
      </c>
      <c r="AS20" s="188">
        <f t="shared" si="15"/>
        <v>0.75</v>
      </c>
      <c r="AT20" s="188">
        <f t="shared" si="3"/>
        <v>1.25</v>
      </c>
      <c r="AU20" s="188">
        <f t="shared" si="4"/>
        <v>0.30000000000000004</v>
      </c>
      <c r="AV20" s="188">
        <f t="shared" si="5"/>
        <v>0.4</v>
      </c>
      <c r="AW20" s="188"/>
      <c r="AX20" s="188"/>
      <c r="AY20" s="188" t="str">
        <f>IF(AX20="","",VLOOKUP(AX20,Appoggio!$M$3:$N$7,2,0))</f>
        <v/>
      </c>
      <c r="AZ20" s="188"/>
      <c r="BA20" s="188" t="str">
        <f>IF(AZ20="","",VLOOKUP(AZ20,Appoggio!$M$3:$N$7,2,0))</f>
        <v/>
      </c>
      <c r="BB20" s="188">
        <f t="shared" si="6"/>
        <v>1.25</v>
      </c>
      <c r="BC20" s="188">
        <f t="shared" si="7"/>
        <v>0.30000000000000004</v>
      </c>
      <c r="BD20" s="188">
        <f t="shared" si="8"/>
        <v>0.4</v>
      </c>
    </row>
    <row r="21" spans="3:56" ht="130" customHeight="1">
      <c r="C21" s="188">
        <v>15</v>
      </c>
      <c r="D21" s="188" t="s">
        <v>516</v>
      </c>
      <c r="E21" s="188" t="s">
        <v>416</v>
      </c>
      <c r="F21" s="188" t="s">
        <v>417</v>
      </c>
      <c r="G21" s="188" t="s">
        <v>418</v>
      </c>
      <c r="H21" s="188" t="s">
        <v>357</v>
      </c>
      <c r="I21" s="188" t="s">
        <v>77</v>
      </c>
      <c r="J21" s="188"/>
      <c r="K21" s="188" t="s">
        <v>517</v>
      </c>
      <c r="L21" s="188" t="s">
        <v>518</v>
      </c>
      <c r="M21" s="188" t="s">
        <v>519</v>
      </c>
      <c r="N21" s="188" t="s">
        <v>520</v>
      </c>
      <c r="O21" s="188">
        <v>3</v>
      </c>
      <c r="P21" s="188">
        <v>2</v>
      </c>
      <c r="Q21" s="188">
        <v>5</v>
      </c>
      <c r="R21" s="188">
        <v>5</v>
      </c>
      <c r="S21" s="188">
        <v>5</v>
      </c>
      <c r="T21" s="188">
        <v>3</v>
      </c>
      <c r="U21" s="188">
        <f t="shared" si="0"/>
        <v>5</v>
      </c>
      <c r="V21" s="188">
        <v>3</v>
      </c>
      <c r="W21" s="188">
        <f t="shared" si="1"/>
        <v>15</v>
      </c>
      <c r="X21" s="188" t="s">
        <v>521</v>
      </c>
      <c r="Y21" s="188">
        <v>3</v>
      </c>
      <c r="Z21" s="188">
        <v>4</v>
      </c>
      <c r="AA21" s="188">
        <v>4</v>
      </c>
      <c r="AB21" s="188">
        <v>3</v>
      </c>
      <c r="AC21" s="188">
        <v>3</v>
      </c>
      <c r="AD21" s="188">
        <v>4</v>
      </c>
      <c r="AE21" s="188">
        <f>IF(Y21="","",VLOOKUP(Y21,Appoggio!$M$3:$N$7,2,0))</f>
        <v>0.25</v>
      </c>
      <c r="AF21" s="188">
        <f>IF(Z21="","",VLOOKUP(Z21,Appoggio!$M$3:$N$7,2,0))</f>
        <v>0.1</v>
      </c>
      <c r="AG21" s="188">
        <f>IF(AA21="","",VLOOKUP(AA21,Appoggio!$M$3:$N$7,2,0))</f>
        <v>0.1</v>
      </c>
      <c r="AH21" s="188">
        <f>IF(AB21="","",VLOOKUP(AB21,Appoggio!$M$3:$N$7,2,0))</f>
        <v>0.25</v>
      </c>
      <c r="AI21" s="188">
        <f>IF(AC21="","",VLOOKUP(AC21,Appoggio!$M$3:$N$7,2,0))</f>
        <v>0.25</v>
      </c>
      <c r="AJ21" s="188">
        <f>IF(AD21="","",VLOOKUP(AD21,Appoggio!$M$3:$N$7,2,0))</f>
        <v>0.1</v>
      </c>
      <c r="AK21" s="188" t="s">
        <v>522</v>
      </c>
      <c r="AL21" s="188">
        <v>4</v>
      </c>
      <c r="AM21" s="188">
        <f>IF(AL21="","",VLOOKUP(AL21,Appoggio!$M$3:$N$7,2,0))</f>
        <v>0.1</v>
      </c>
      <c r="AN21" s="188">
        <f t="shared" si="10"/>
        <v>0.75</v>
      </c>
      <c r="AO21" s="188">
        <f t="shared" si="11"/>
        <v>0.2</v>
      </c>
      <c r="AP21" s="188">
        <f t="shared" si="12"/>
        <v>0.5</v>
      </c>
      <c r="AQ21" s="188">
        <f t="shared" si="13"/>
        <v>1.25</v>
      </c>
      <c r="AR21" s="188">
        <f t="shared" si="14"/>
        <v>1.25</v>
      </c>
      <c r="AS21" s="188">
        <f t="shared" si="15"/>
        <v>0.30000000000000004</v>
      </c>
      <c r="AT21" s="188">
        <f t="shared" si="3"/>
        <v>1.25</v>
      </c>
      <c r="AU21" s="188">
        <f t="shared" si="4"/>
        <v>0.30000000000000004</v>
      </c>
      <c r="AV21" s="188">
        <f t="shared" si="5"/>
        <v>0.4</v>
      </c>
      <c r="AW21" s="188"/>
      <c r="AX21" s="188"/>
      <c r="AY21" s="188" t="str">
        <f>IF(AX21="","",VLOOKUP(AX21,Appoggio!$M$3:$N$7,2,0))</f>
        <v/>
      </c>
      <c r="AZ21" s="188"/>
      <c r="BA21" s="188" t="str">
        <f>IF(AZ21="","",VLOOKUP(AZ21,Appoggio!$M$3:$N$7,2,0))</f>
        <v/>
      </c>
      <c r="BB21" s="188">
        <f t="shared" si="6"/>
        <v>1.25</v>
      </c>
      <c r="BC21" s="188">
        <f t="shared" si="7"/>
        <v>0.30000000000000004</v>
      </c>
      <c r="BD21" s="188">
        <f t="shared" si="8"/>
        <v>0.4</v>
      </c>
    </row>
    <row r="22" spans="3:56">
      <c r="C22"/>
      <c r="D22"/>
      <c r="E22"/>
      <c r="H22"/>
      <c r="K22"/>
      <c r="L22"/>
      <c r="M22"/>
      <c r="N22"/>
      <c r="Q22"/>
      <c r="T22"/>
      <c r="X22"/>
      <c r="Y22"/>
      <c r="Z22"/>
      <c r="AA22"/>
      <c r="AB22"/>
      <c r="AC22"/>
      <c r="AD22"/>
      <c r="AE22"/>
      <c r="AF22"/>
      <c r="AG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3:56">
      <c r="C23"/>
      <c r="D23"/>
      <c r="E23"/>
      <c r="H23"/>
      <c r="K23"/>
      <c r="L23"/>
      <c r="M23"/>
      <c r="N23"/>
      <c r="Q23"/>
      <c r="T23"/>
      <c r="X23"/>
      <c r="Y23"/>
      <c r="Z23"/>
      <c r="AA23"/>
      <c r="AB23"/>
      <c r="AC23"/>
      <c r="AD23"/>
      <c r="AE23"/>
      <c r="AF23"/>
      <c r="AG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3:56">
      <c r="C24"/>
      <c r="D24"/>
      <c r="E24"/>
      <c r="H24"/>
      <c r="K24"/>
      <c r="L24"/>
      <c r="M24"/>
      <c r="N24"/>
      <c r="Q24"/>
      <c r="T24"/>
      <c r="X24"/>
      <c r="Y24"/>
      <c r="Z24"/>
      <c r="AA24"/>
      <c r="AB24"/>
      <c r="AC24"/>
      <c r="AD24"/>
      <c r="AE24"/>
      <c r="AF24"/>
      <c r="AG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3:56">
      <c r="C25"/>
      <c r="D25"/>
      <c r="E25"/>
      <c r="H25"/>
      <c r="K25"/>
      <c r="L25"/>
      <c r="M25"/>
      <c r="N25"/>
      <c r="Q25"/>
      <c r="T25"/>
      <c r="X25"/>
      <c r="Y25"/>
      <c r="Z25"/>
      <c r="AA25"/>
      <c r="AB25"/>
      <c r="AC25"/>
      <c r="AD25"/>
      <c r="AE25"/>
      <c r="AF25"/>
      <c r="AG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3:56">
      <c r="C26"/>
      <c r="D26"/>
      <c r="E26"/>
      <c r="H26"/>
      <c r="K26"/>
      <c r="L26"/>
      <c r="M26"/>
      <c r="N26"/>
      <c r="Q26"/>
      <c r="T26"/>
      <c r="X26"/>
      <c r="Y26"/>
      <c r="Z26"/>
      <c r="AA26"/>
      <c r="AB26"/>
      <c r="AC26"/>
      <c r="AD26"/>
      <c r="AE26"/>
      <c r="AF26"/>
      <c r="AG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3:56">
      <c r="C27"/>
      <c r="D27"/>
      <c r="E27"/>
      <c r="H27"/>
      <c r="K27"/>
      <c r="L27"/>
      <c r="M27"/>
      <c r="N27"/>
      <c r="Q27"/>
      <c r="T27"/>
      <c r="X27"/>
      <c r="Y27"/>
      <c r="Z27"/>
      <c r="AA27"/>
      <c r="AB27"/>
      <c r="AC27"/>
      <c r="AD27"/>
      <c r="AE27"/>
      <c r="AF27"/>
      <c r="AG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3:56">
      <c r="C28"/>
      <c r="D28"/>
      <c r="E28"/>
      <c r="H28"/>
      <c r="K28"/>
      <c r="L28"/>
      <c r="M28"/>
      <c r="N28"/>
      <c r="Q28"/>
      <c r="T28"/>
      <c r="X28"/>
      <c r="Y28"/>
      <c r="Z28"/>
      <c r="AA28"/>
      <c r="AB28"/>
      <c r="AC28"/>
      <c r="AD28"/>
      <c r="AE28"/>
      <c r="AF28"/>
      <c r="AG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3:56">
      <c r="C29"/>
      <c r="D29"/>
      <c r="E29"/>
      <c r="H29"/>
      <c r="K29"/>
      <c r="L29"/>
      <c r="M29"/>
      <c r="N29"/>
      <c r="Q29"/>
      <c r="T29"/>
      <c r="X29"/>
      <c r="Y29"/>
      <c r="Z29"/>
      <c r="AA29"/>
      <c r="AB29"/>
      <c r="AC29"/>
      <c r="AD29"/>
      <c r="AE29"/>
      <c r="AF29"/>
      <c r="AG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3:56">
      <c r="C30"/>
      <c r="D30"/>
      <c r="E30"/>
      <c r="H30"/>
      <c r="K30"/>
      <c r="L30"/>
      <c r="M30"/>
      <c r="N30"/>
      <c r="Q30"/>
      <c r="T30"/>
      <c r="X30"/>
      <c r="Y30"/>
      <c r="Z30"/>
      <c r="AA30"/>
      <c r="AB30"/>
      <c r="AC30"/>
      <c r="AD30"/>
      <c r="AE30"/>
      <c r="AF30"/>
      <c r="AG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3:56">
      <c r="C31"/>
      <c r="D31"/>
      <c r="E31"/>
      <c r="H31"/>
      <c r="K31"/>
      <c r="L31"/>
      <c r="M31"/>
      <c r="N31"/>
      <c r="Q31"/>
      <c r="T31"/>
      <c r="X31"/>
      <c r="Y31"/>
      <c r="Z31"/>
      <c r="AA31"/>
      <c r="AB31"/>
      <c r="AC31"/>
      <c r="AD31"/>
      <c r="AE31"/>
      <c r="AF31"/>
      <c r="AG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3:56">
      <c r="C32"/>
      <c r="D32"/>
      <c r="E32"/>
      <c r="H32"/>
      <c r="K32"/>
      <c r="L32"/>
      <c r="M32"/>
      <c r="N32"/>
      <c r="Q32"/>
      <c r="T32"/>
      <c r="X32"/>
      <c r="Y32"/>
      <c r="Z32"/>
      <c r="AA32"/>
      <c r="AB32"/>
      <c r="AC32"/>
      <c r="AD32"/>
      <c r="AE32"/>
      <c r="AF32"/>
      <c r="AG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3:56">
      <c r="C33"/>
      <c r="D33"/>
      <c r="E33"/>
      <c r="H33"/>
      <c r="K33"/>
      <c r="L33"/>
      <c r="M33"/>
      <c r="N33"/>
      <c r="Q33"/>
      <c r="T33"/>
      <c r="X33"/>
      <c r="Y33"/>
      <c r="Z33"/>
      <c r="AA33"/>
      <c r="AB33"/>
      <c r="AC33"/>
      <c r="AD33"/>
      <c r="AE33"/>
      <c r="AF33"/>
      <c r="AG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3:56">
      <c r="C34"/>
      <c r="D34"/>
      <c r="E34"/>
      <c r="H34"/>
      <c r="K34"/>
      <c r="L34"/>
      <c r="M34"/>
      <c r="N34"/>
      <c r="Q34"/>
      <c r="T34"/>
      <c r="X34"/>
      <c r="Y34"/>
      <c r="Z34"/>
      <c r="AA34"/>
      <c r="AB34"/>
      <c r="AC34"/>
      <c r="AD34"/>
      <c r="AE34"/>
      <c r="AF34"/>
      <c r="AG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3:56">
      <c r="C35"/>
      <c r="D35"/>
      <c r="E35"/>
      <c r="H35"/>
      <c r="K35"/>
      <c r="L35"/>
      <c r="M35"/>
      <c r="N35"/>
      <c r="Q35"/>
      <c r="T35"/>
      <c r="X35"/>
      <c r="Y35"/>
      <c r="Z35"/>
      <c r="AA35"/>
      <c r="AB35"/>
      <c r="AC35"/>
      <c r="AD35"/>
      <c r="AE35"/>
      <c r="AF35"/>
      <c r="AG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3:56">
      <c r="C36"/>
      <c r="D36"/>
      <c r="E36"/>
      <c r="H36"/>
      <c r="K36"/>
      <c r="L36"/>
      <c r="M36"/>
      <c r="N36"/>
      <c r="Q36"/>
      <c r="T36"/>
      <c r="X36"/>
      <c r="Y36"/>
      <c r="Z36"/>
      <c r="AA36"/>
      <c r="AB36"/>
      <c r="AC36"/>
      <c r="AD36"/>
      <c r="AE36"/>
      <c r="AF36"/>
      <c r="AG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3:56">
      <c r="C37"/>
      <c r="D37"/>
      <c r="E37"/>
      <c r="H37"/>
      <c r="K37"/>
      <c r="L37"/>
      <c r="M37"/>
      <c r="N37"/>
      <c r="Q37"/>
      <c r="T37"/>
      <c r="X37"/>
      <c r="Y37"/>
      <c r="Z37"/>
      <c r="AA37"/>
      <c r="AB37"/>
      <c r="AC37"/>
      <c r="AD37"/>
      <c r="AE37"/>
      <c r="AF37"/>
      <c r="AG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3:56">
      <c r="C38"/>
      <c r="D38"/>
      <c r="E38"/>
      <c r="H38"/>
      <c r="K38"/>
      <c r="L38"/>
      <c r="M38"/>
      <c r="N38"/>
      <c r="Q38"/>
      <c r="T38"/>
      <c r="X38"/>
      <c r="Y38"/>
      <c r="Z38"/>
      <c r="AA38"/>
      <c r="AB38"/>
      <c r="AC38"/>
      <c r="AD38"/>
      <c r="AE38"/>
      <c r="AF38"/>
      <c r="AG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</row>
    <row r="39" spans="3:56">
      <c r="C39"/>
      <c r="D39"/>
      <c r="E39"/>
      <c r="H39"/>
      <c r="K39"/>
      <c r="L39"/>
      <c r="M39"/>
      <c r="N39"/>
      <c r="Q39"/>
      <c r="T39"/>
      <c r="X39"/>
      <c r="Y39"/>
      <c r="Z39"/>
      <c r="AA39"/>
      <c r="AB39"/>
      <c r="AC39"/>
      <c r="AD39"/>
      <c r="AE39"/>
      <c r="AF39"/>
      <c r="AG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3:56">
      <c r="C40"/>
      <c r="D40"/>
      <c r="E40"/>
      <c r="H40"/>
      <c r="K40"/>
      <c r="L40"/>
      <c r="M40"/>
      <c r="N40"/>
      <c r="Q40"/>
      <c r="T40"/>
      <c r="X40"/>
      <c r="Y40"/>
      <c r="Z40"/>
      <c r="AA40"/>
      <c r="AB40"/>
      <c r="AC40"/>
      <c r="AD40"/>
      <c r="AE40"/>
      <c r="AF40"/>
      <c r="AG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1" spans="3:56">
      <c r="C41"/>
      <c r="D41"/>
      <c r="E41"/>
      <c r="H41"/>
      <c r="K41"/>
      <c r="L41"/>
      <c r="M41"/>
      <c r="N41"/>
      <c r="Q41"/>
      <c r="T41"/>
      <c r="X41"/>
      <c r="Y41"/>
      <c r="Z41"/>
      <c r="AA41"/>
      <c r="AB41"/>
      <c r="AC41"/>
      <c r="AD41"/>
      <c r="AE41"/>
      <c r="AF41"/>
      <c r="AG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3:56">
      <c r="C42"/>
      <c r="D42"/>
      <c r="E42"/>
      <c r="H42"/>
      <c r="K42"/>
      <c r="L42"/>
      <c r="M42"/>
      <c r="N42"/>
      <c r="Q42"/>
      <c r="T42"/>
      <c r="X42"/>
      <c r="Y42"/>
      <c r="Z42"/>
      <c r="AA42"/>
      <c r="AB42"/>
      <c r="AC42"/>
      <c r="AD42"/>
      <c r="AE42"/>
      <c r="AF42"/>
      <c r="AG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</row>
    <row r="43" spans="3:56">
      <c r="C43"/>
      <c r="D43"/>
      <c r="E43"/>
      <c r="H43"/>
      <c r="K43"/>
      <c r="L43"/>
      <c r="M43"/>
      <c r="N43"/>
      <c r="Q43"/>
      <c r="T43"/>
      <c r="X43"/>
      <c r="Y43"/>
      <c r="Z43"/>
      <c r="AA43"/>
      <c r="AB43"/>
      <c r="AC43"/>
      <c r="AD43"/>
      <c r="AE43"/>
      <c r="AF43"/>
      <c r="AG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</row>
    <row r="44" spans="3:56">
      <c r="C44"/>
      <c r="D44"/>
      <c r="E44"/>
      <c r="H44"/>
      <c r="K44"/>
      <c r="L44"/>
      <c r="M44"/>
      <c r="N44"/>
      <c r="Q44"/>
      <c r="T44"/>
      <c r="X44"/>
      <c r="Y44"/>
      <c r="Z44"/>
      <c r="AA44"/>
      <c r="AB44"/>
      <c r="AC44"/>
      <c r="AD44"/>
      <c r="AE44"/>
      <c r="AF44"/>
      <c r="AG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3:56">
      <c r="C45"/>
      <c r="D45"/>
      <c r="E45"/>
      <c r="H45"/>
      <c r="K45"/>
      <c r="L45"/>
      <c r="M45"/>
      <c r="N45"/>
      <c r="Q45"/>
      <c r="T45"/>
      <c r="X45"/>
      <c r="Y45"/>
      <c r="Z45"/>
      <c r="AA45"/>
      <c r="AB45"/>
      <c r="AC45"/>
      <c r="AD45"/>
      <c r="AE45"/>
      <c r="AF45"/>
      <c r="AG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3:56">
      <c r="C46"/>
      <c r="D46"/>
      <c r="E46"/>
      <c r="H46"/>
      <c r="K46"/>
      <c r="L46"/>
      <c r="M46"/>
      <c r="N46"/>
      <c r="Q46"/>
      <c r="T46"/>
      <c r="X46"/>
      <c r="Y46"/>
      <c r="Z46"/>
      <c r="AA46"/>
      <c r="AB46"/>
      <c r="AC46"/>
      <c r="AD46"/>
      <c r="AE46"/>
      <c r="AF46"/>
      <c r="AG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</row>
    <row r="47" spans="3:56">
      <c r="C47"/>
      <c r="D47"/>
      <c r="E47"/>
      <c r="H47"/>
      <c r="K47"/>
      <c r="L47"/>
      <c r="M47"/>
      <c r="N47"/>
      <c r="Q47"/>
      <c r="T47"/>
      <c r="X47"/>
      <c r="Y47"/>
      <c r="Z47"/>
      <c r="AA47"/>
      <c r="AB47"/>
      <c r="AC47"/>
      <c r="AD47"/>
      <c r="AE47"/>
      <c r="AF47"/>
      <c r="AG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</row>
    <row r="48" spans="3:56">
      <c r="C48"/>
      <c r="D48"/>
      <c r="E48"/>
      <c r="H48"/>
      <c r="K48"/>
      <c r="L48"/>
      <c r="M48"/>
      <c r="N48"/>
      <c r="Q48"/>
      <c r="T48"/>
      <c r="X48"/>
      <c r="Y48"/>
      <c r="Z48"/>
      <c r="AA48"/>
      <c r="AB48"/>
      <c r="AC48"/>
      <c r="AD48"/>
      <c r="AE48"/>
      <c r="AF48"/>
      <c r="AG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</row>
    <row r="49" spans="3:56">
      <c r="C49"/>
      <c r="D49"/>
      <c r="E49"/>
      <c r="H49"/>
      <c r="K49"/>
      <c r="L49"/>
      <c r="M49"/>
      <c r="N49"/>
      <c r="Q49"/>
      <c r="T49"/>
      <c r="X49"/>
      <c r="Y49"/>
      <c r="Z49"/>
      <c r="AA49"/>
      <c r="AB49"/>
      <c r="AC49"/>
      <c r="AD49"/>
      <c r="AE49"/>
      <c r="AF49"/>
      <c r="AG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</row>
    <row r="50" spans="3:56">
      <c r="C50"/>
      <c r="D50"/>
      <c r="E50"/>
      <c r="H50"/>
      <c r="K50"/>
      <c r="L50"/>
      <c r="M50"/>
      <c r="N50"/>
      <c r="Q50"/>
      <c r="T50"/>
      <c r="X50"/>
      <c r="Y50"/>
      <c r="Z50"/>
      <c r="AA50"/>
      <c r="AB50"/>
      <c r="AC50"/>
      <c r="AD50"/>
      <c r="AE50"/>
      <c r="AF50"/>
      <c r="AG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</row>
    <row r="51" spans="3:56">
      <c r="C51"/>
      <c r="D51"/>
      <c r="E51"/>
      <c r="H51"/>
      <c r="K51"/>
      <c r="L51"/>
      <c r="M51"/>
      <c r="N51"/>
      <c r="Q51"/>
      <c r="T51"/>
      <c r="X51"/>
      <c r="Y51"/>
      <c r="Z51"/>
      <c r="AA51"/>
      <c r="AB51"/>
      <c r="AC51"/>
      <c r="AD51"/>
      <c r="AE51"/>
      <c r="AF51"/>
      <c r="AG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3:56">
      <c r="C52"/>
      <c r="D52"/>
      <c r="E52"/>
      <c r="H52"/>
      <c r="K52"/>
      <c r="L52"/>
      <c r="M52"/>
      <c r="N52"/>
      <c r="Q52"/>
      <c r="T52"/>
      <c r="X52"/>
      <c r="Y52"/>
      <c r="Z52"/>
      <c r="AA52"/>
      <c r="AB52"/>
      <c r="AC52"/>
      <c r="AD52"/>
      <c r="AE52"/>
      <c r="AF52"/>
      <c r="AG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</row>
    <row r="53" spans="3:56">
      <c r="C53"/>
      <c r="D53"/>
      <c r="E53"/>
      <c r="H53"/>
      <c r="K53"/>
      <c r="L53"/>
      <c r="M53"/>
      <c r="N53"/>
      <c r="Q53"/>
      <c r="T53"/>
      <c r="X53"/>
      <c r="Y53"/>
      <c r="Z53"/>
      <c r="AA53"/>
      <c r="AB53"/>
      <c r="AC53"/>
      <c r="AD53"/>
      <c r="AE53"/>
      <c r="AF53"/>
      <c r="AG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</row>
    <row r="54" spans="3:56">
      <c r="C54"/>
      <c r="D54"/>
      <c r="E54"/>
      <c r="H54"/>
      <c r="K54"/>
      <c r="L54"/>
      <c r="M54"/>
      <c r="N54"/>
      <c r="Q54"/>
      <c r="T54"/>
      <c r="X54"/>
      <c r="Y54"/>
      <c r="Z54"/>
      <c r="AA54"/>
      <c r="AB54"/>
      <c r="AC54"/>
      <c r="AD54"/>
      <c r="AE54"/>
      <c r="AF54"/>
      <c r="AG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3:56">
      <c r="C55"/>
      <c r="D55"/>
      <c r="E55"/>
      <c r="H55"/>
      <c r="K55"/>
      <c r="L55"/>
      <c r="M55"/>
      <c r="N55"/>
      <c r="Q55"/>
      <c r="T55"/>
      <c r="X55"/>
      <c r="Y55"/>
      <c r="Z55"/>
      <c r="AA55"/>
      <c r="AB55"/>
      <c r="AC55"/>
      <c r="AD55"/>
      <c r="AE55"/>
      <c r="AF55"/>
      <c r="AG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3:56">
      <c r="C56"/>
      <c r="D56"/>
      <c r="E56"/>
      <c r="H56"/>
      <c r="K56"/>
      <c r="L56"/>
      <c r="M56"/>
      <c r="N56"/>
      <c r="Q56"/>
      <c r="T56"/>
      <c r="X56"/>
      <c r="Y56"/>
      <c r="Z56"/>
      <c r="AA56"/>
      <c r="AB56"/>
      <c r="AC56"/>
      <c r="AD56"/>
      <c r="AE56"/>
      <c r="AF56"/>
      <c r="AG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3:56">
      <c r="C57"/>
      <c r="D57"/>
      <c r="E57"/>
      <c r="H57"/>
      <c r="K57"/>
      <c r="L57"/>
      <c r="M57"/>
      <c r="N57"/>
      <c r="Q57"/>
      <c r="T57"/>
      <c r="X57"/>
      <c r="Y57"/>
      <c r="Z57"/>
      <c r="AA57"/>
      <c r="AB57"/>
      <c r="AC57"/>
      <c r="AD57"/>
      <c r="AE57"/>
      <c r="AF57"/>
      <c r="AG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3:56">
      <c r="C58"/>
      <c r="D58"/>
      <c r="E58"/>
      <c r="H58"/>
      <c r="K58"/>
      <c r="L58"/>
      <c r="M58"/>
      <c r="N58"/>
      <c r="Q58"/>
      <c r="T58"/>
      <c r="X58"/>
      <c r="Y58"/>
      <c r="Z58"/>
      <c r="AA58"/>
      <c r="AB58"/>
      <c r="AC58"/>
      <c r="AD58"/>
      <c r="AE58"/>
      <c r="AF58"/>
      <c r="AG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3:56">
      <c r="C59"/>
      <c r="D59"/>
      <c r="E59"/>
      <c r="H59"/>
      <c r="K59"/>
      <c r="L59"/>
      <c r="M59"/>
      <c r="N59"/>
      <c r="Q59"/>
      <c r="T59"/>
      <c r="X59"/>
      <c r="Y59"/>
      <c r="Z59"/>
      <c r="AA59"/>
      <c r="AB59"/>
      <c r="AC59"/>
      <c r="AD59"/>
      <c r="AE59"/>
      <c r="AF59"/>
      <c r="AG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3:56">
      <c r="C60"/>
      <c r="D60"/>
      <c r="E60"/>
      <c r="H60"/>
      <c r="K60"/>
      <c r="L60"/>
      <c r="M60"/>
      <c r="N60"/>
      <c r="Q60"/>
      <c r="T60"/>
      <c r="X60"/>
      <c r="Y60"/>
      <c r="Z60"/>
      <c r="AA60"/>
      <c r="AB60"/>
      <c r="AC60"/>
      <c r="AD60"/>
      <c r="AE60"/>
      <c r="AF60"/>
      <c r="AG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3:56">
      <c r="C61"/>
      <c r="D61"/>
      <c r="E61"/>
      <c r="H61"/>
      <c r="K61"/>
      <c r="L61"/>
      <c r="M61"/>
      <c r="N61"/>
      <c r="Q61"/>
      <c r="T61"/>
      <c r="X61"/>
      <c r="Y61"/>
      <c r="Z61"/>
      <c r="AA61"/>
      <c r="AB61"/>
      <c r="AC61"/>
      <c r="AD61"/>
      <c r="AE61"/>
      <c r="AF61"/>
      <c r="AG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3:56">
      <c r="C62"/>
      <c r="D62"/>
      <c r="E62"/>
      <c r="H62"/>
      <c r="K62"/>
      <c r="L62"/>
      <c r="M62"/>
      <c r="N62"/>
      <c r="Q62"/>
      <c r="T62"/>
      <c r="X62"/>
      <c r="Y62"/>
      <c r="Z62"/>
      <c r="AA62"/>
      <c r="AB62"/>
      <c r="AC62"/>
      <c r="AD62"/>
      <c r="AE62"/>
      <c r="AF62"/>
      <c r="AG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3:56">
      <c r="C63"/>
      <c r="D63"/>
      <c r="E63"/>
      <c r="H63"/>
      <c r="K63"/>
      <c r="L63"/>
      <c r="M63"/>
      <c r="N63"/>
      <c r="Q63"/>
      <c r="T63"/>
      <c r="X63"/>
      <c r="Y63"/>
      <c r="Z63"/>
      <c r="AA63"/>
      <c r="AB63"/>
      <c r="AC63"/>
      <c r="AD63"/>
      <c r="AE63"/>
      <c r="AF63"/>
      <c r="AG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3:56">
      <c r="C64"/>
      <c r="D64"/>
      <c r="E64"/>
      <c r="H64"/>
      <c r="K64"/>
      <c r="L64"/>
      <c r="M64"/>
      <c r="N64"/>
      <c r="Q64"/>
      <c r="T64"/>
      <c r="X64"/>
      <c r="Y64"/>
      <c r="Z64"/>
      <c r="AA64"/>
      <c r="AB64"/>
      <c r="AC64"/>
      <c r="AD64"/>
      <c r="AE64"/>
      <c r="AF64"/>
      <c r="AG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spans="3:56">
      <c r="C65"/>
      <c r="D65"/>
      <c r="E65"/>
      <c r="H65"/>
      <c r="K65"/>
      <c r="L65"/>
      <c r="M65"/>
      <c r="N65"/>
      <c r="Q65"/>
      <c r="T65"/>
      <c r="X65"/>
      <c r="Y65"/>
      <c r="Z65"/>
      <c r="AA65"/>
      <c r="AB65"/>
      <c r="AC65"/>
      <c r="AD65"/>
      <c r="AE65"/>
      <c r="AF65"/>
      <c r="AG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</row>
    <row r="66" spans="3:56">
      <c r="C66"/>
      <c r="D66"/>
      <c r="E66"/>
      <c r="H66"/>
      <c r="K66"/>
      <c r="L66"/>
      <c r="M66"/>
      <c r="N66"/>
      <c r="Q66"/>
      <c r="T66"/>
      <c r="X66"/>
      <c r="Y66"/>
      <c r="Z66"/>
      <c r="AA66"/>
      <c r="AB66"/>
      <c r="AC66"/>
      <c r="AD66"/>
      <c r="AE66"/>
      <c r="AF66"/>
      <c r="AG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</row>
    <row r="67" spans="3:56">
      <c r="C67"/>
      <c r="D67"/>
      <c r="E67"/>
      <c r="H67"/>
      <c r="K67"/>
      <c r="L67"/>
      <c r="M67"/>
      <c r="N67"/>
      <c r="Q67"/>
      <c r="T67"/>
      <c r="X67"/>
      <c r="Y67"/>
      <c r="Z67"/>
      <c r="AA67"/>
      <c r="AB67"/>
      <c r="AC67"/>
      <c r="AD67"/>
      <c r="AE67"/>
      <c r="AF67"/>
      <c r="AG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</row>
    <row r="68" spans="3:56">
      <c r="C68"/>
      <c r="D68"/>
      <c r="E68"/>
      <c r="H68"/>
      <c r="K68"/>
      <c r="L68"/>
      <c r="M68"/>
      <c r="N68"/>
      <c r="Q68"/>
      <c r="T68"/>
      <c r="X68"/>
      <c r="Y68"/>
      <c r="Z68"/>
      <c r="AA68"/>
      <c r="AB68"/>
      <c r="AC68"/>
      <c r="AD68"/>
      <c r="AE68"/>
      <c r="AF68"/>
      <c r="AG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</row>
    <row r="69" spans="3:56">
      <c r="C69"/>
      <c r="D69"/>
      <c r="E69"/>
      <c r="H69"/>
      <c r="K69"/>
      <c r="L69"/>
      <c r="M69"/>
      <c r="N69"/>
      <c r="Q69"/>
      <c r="T69"/>
      <c r="X69"/>
      <c r="Y69"/>
      <c r="Z69"/>
      <c r="AA69"/>
      <c r="AB69"/>
      <c r="AC69"/>
      <c r="AD69"/>
      <c r="AE69"/>
      <c r="AF69"/>
      <c r="AG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3:56">
      <c r="C70"/>
      <c r="D70"/>
      <c r="E70"/>
      <c r="H70"/>
      <c r="K70"/>
      <c r="L70"/>
      <c r="M70"/>
      <c r="N70"/>
      <c r="Q70"/>
      <c r="T70"/>
      <c r="X70"/>
      <c r="Y70"/>
      <c r="Z70"/>
      <c r="AA70"/>
      <c r="AB70"/>
      <c r="AC70"/>
      <c r="AD70"/>
      <c r="AE70"/>
      <c r="AF70"/>
      <c r="AG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3:56">
      <c r="C71"/>
      <c r="D71"/>
      <c r="E71"/>
      <c r="H71"/>
      <c r="K71"/>
      <c r="L71"/>
      <c r="M71"/>
      <c r="N71"/>
      <c r="Q71"/>
      <c r="T71"/>
      <c r="X71"/>
      <c r="Y71"/>
      <c r="Z71"/>
      <c r="AA71"/>
      <c r="AB71"/>
      <c r="AC71"/>
      <c r="AD71"/>
      <c r="AE71"/>
      <c r="AF71"/>
      <c r="AG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3:56">
      <c r="C72"/>
      <c r="D72"/>
      <c r="E72"/>
      <c r="H72"/>
      <c r="K72"/>
      <c r="L72"/>
      <c r="M72"/>
      <c r="N72"/>
      <c r="Q72"/>
      <c r="T72"/>
      <c r="X72"/>
      <c r="Y72"/>
      <c r="Z72"/>
      <c r="AA72"/>
      <c r="AB72"/>
      <c r="AC72"/>
      <c r="AD72"/>
      <c r="AE72"/>
      <c r="AF72"/>
      <c r="AG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</row>
    <row r="73" spans="3:56">
      <c r="C73"/>
      <c r="D73"/>
      <c r="E73"/>
      <c r="H73"/>
      <c r="K73"/>
      <c r="L73"/>
      <c r="M73"/>
      <c r="N73"/>
      <c r="Q73"/>
      <c r="T73"/>
      <c r="X73"/>
      <c r="Y73"/>
      <c r="Z73"/>
      <c r="AA73"/>
      <c r="AB73"/>
      <c r="AC73"/>
      <c r="AD73"/>
      <c r="AE73"/>
      <c r="AF73"/>
      <c r="AG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</row>
    <row r="74" spans="3:56">
      <c r="C74"/>
      <c r="D74"/>
      <c r="E74"/>
      <c r="H74"/>
      <c r="K74"/>
      <c r="L74"/>
      <c r="M74"/>
      <c r="N74"/>
      <c r="Q74"/>
      <c r="T74"/>
      <c r="X74"/>
      <c r="Y74"/>
      <c r="Z74"/>
      <c r="AA74"/>
      <c r="AB74"/>
      <c r="AC74"/>
      <c r="AD74"/>
      <c r="AE74"/>
      <c r="AF74"/>
      <c r="AG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</row>
    <row r="75" spans="3:56">
      <c r="C75"/>
      <c r="D75"/>
      <c r="E75"/>
      <c r="H75"/>
      <c r="K75"/>
      <c r="L75"/>
      <c r="M75"/>
      <c r="N75"/>
      <c r="Q75"/>
      <c r="T75"/>
      <c r="X75"/>
      <c r="Y75"/>
      <c r="Z75"/>
      <c r="AA75"/>
      <c r="AB75"/>
      <c r="AC75"/>
      <c r="AD75"/>
      <c r="AE75"/>
      <c r="AF75"/>
      <c r="AG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</row>
    <row r="76" spans="3:56">
      <c r="C76"/>
      <c r="D76"/>
      <c r="E76"/>
      <c r="H76"/>
      <c r="K76"/>
      <c r="L76"/>
      <c r="M76"/>
      <c r="N76"/>
      <c r="Q76"/>
      <c r="T76"/>
      <c r="X76"/>
      <c r="Y76"/>
      <c r="Z76"/>
      <c r="AA76"/>
      <c r="AB76"/>
      <c r="AC76"/>
      <c r="AD76"/>
      <c r="AE76"/>
      <c r="AF76"/>
      <c r="AG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</row>
    <row r="77" spans="3:56">
      <c r="C77"/>
      <c r="D77"/>
      <c r="E77"/>
      <c r="H77"/>
      <c r="K77"/>
      <c r="L77"/>
      <c r="M77"/>
      <c r="N77"/>
      <c r="Q77"/>
      <c r="T77"/>
      <c r="X77"/>
      <c r="Y77"/>
      <c r="Z77"/>
      <c r="AA77"/>
      <c r="AB77"/>
      <c r="AC77"/>
      <c r="AD77"/>
      <c r="AE77"/>
      <c r="AF77"/>
      <c r="AG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</row>
    <row r="78" spans="3:56">
      <c r="C78"/>
      <c r="D78"/>
      <c r="E78"/>
      <c r="H78"/>
      <c r="K78"/>
      <c r="L78"/>
      <c r="M78"/>
      <c r="N78"/>
      <c r="Q78"/>
      <c r="T78"/>
      <c r="X78"/>
      <c r="Y78"/>
      <c r="Z78"/>
      <c r="AA78"/>
      <c r="AB78"/>
      <c r="AC78"/>
      <c r="AD78"/>
      <c r="AE78"/>
      <c r="AF78"/>
      <c r="AG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</row>
    <row r="79" spans="3:56">
      <c r="C79"/>
      <c r="D79"/>
      <c r="E79"/>
      <c r="H79"/>
      <c r="K79"/>
      <c r="L79"/>
      <c r="M79"/>
      <c r="N79"/>
      <c r="Q79"/>
      <c r="T79"/>
      <c r="X79"/>
      <c r="Y79"/>
      <c r="Z79"/>
      <c r="AA79"/>
      <c r="AB79"/>
      <c r="AC79"/>
      <c r="AD79"/>
      <c r="AE79"/>
      <c r="AF79"/>
      <c r="AG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</row>
    <row r="80" spans="3:56">
      <c r="C80"/>
      <c r="D80"/>
      <c r="E80"/>
      <c r="H80"/>
      <c r="K80"/>
      <c r="L80"/>
      <c r="M80"/>
      <c r="N80"/>
      <c r="Q80"/>
      <c r="T80"/>
      <c r="X80"/>
      <c r="Y80"/>
      <c r="Z80"/>
      <c r="AA80"/>
      <c r="AB80"/>
      <c r="AC80"/>
      <c r="AD80"/>
      <c r="AE80"/>
      <c r="AF80"/>
      <c r="AG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</row>
    <row r="81" spans="3:56">
      <c r="C81"/>
      <c r="D81"/>
      <c r="E81"/>
      <c r="H81"/>
      <c r="K81"/>
      <c r="L81"/>
      <c r="M81"/>
      <c r="N81"/>
      <c r="Q81"/>
      <c r="T81"/>
      <c r="X81"/>
      <c r="Y81"/>
      <c r="Z81"/>
      <c r="AA81"/>
      <c r="AB81"/>
      <c r="AC81"/>
      <c r="AD81"/>
      <c r="AE81"/>
      <c r="AF81"/>
      <c r="AG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</row>
    <row r="82" spans="3:56">
      <c r="C82"/>
      <c r="D82"/>
      <c r="E82"/>
      <c r="H82"/>
      <c r="K82"/>
      <c r="L82"/>
      <c r="M82"/>
      <c r="N82"/>
      <c r="Q82"/>
      <c r="T82"/>
      <c r="X82"/>
      <c r="Y82"/>
      <c r="Z82"/>
      <c r="AA82"/>
      <c r="AB82"/>
      <c r="AC82"/>
      <c r="AD82"/>
      <c r="AE82"/>
      <c r="AF82"/>
      <c r="AG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</row>
    <row r="83" spans="3:56">
      <c r="C83"/>
      <c r="D83"/>
      <c r="E83"/>
      <c r="H83"/>
      <c r="K83"/>
      <c r="L83"/>
      <c r="M83"/>
      <c r="N83"/>
      <c r="Q83"/>
      <c r="T83"/>
      <c r="X83"/>
      <c r="Y83"/>
      <c r="Z83"/>
      <c r="AA83"/>
      <c r="AB83"/>
      <c r="AC83"/>
      <c r="AD83"/>
      <c r="AE83"/>
      <c r="AF83"/>
      <c r="AG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</row>
    <row r="84" spans="3:56">
      <c r="C84"/>
      <c r="D84"/>
      <c r="E84"/>
      <c r="H84"/>
      <c r="K84"/>
      <c r="L84"/>
      <c r="M84"/>
      <c r="N84"/>
      <c r="Q84"/>
      <c r="T84"/>
      <c r="X84"/>
      <c r="Y84"/>
      <c r="Z84"/>
      <c r="AA84"/>
      <c r="AB84"/>
      <c r="AC84"/>
      <c r="AD84"/>
      <c r="AE84"/>
      <c r="AF84"/>
      <c r="AG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</row>
    <row r="85" spans="3:56">
      <c r="C85"/>
      <c r="D85"/>
      <c r="E85"/>
      <c r="H85"/>
      <c r="K85"/>
      <c r="L85"/>
      <c r="M85"/>
      <c r="N85"/>
      <c r="Q85"/>
      <c r="T85"/>
      <c r="X85"/>
      <c r="Y85"/>
      <c r="Z85"/>
      <c r="AA85"/>
      <c r="AB85"/>
      <c r="AC85"/>
      <c r="AD85"/>
      <c r="AE85"/>
      <c r="AF85"/>
      <c r="AG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</row>
    <row r="86" spans="3:56">
      <c r="C86"/>
      <c r="D86"/>
      <c r="E86"/>
      <c r="H86"/>
      <c r="K86"/>
      <c r="L86"/>
      <c r="M86"/>
      <c r="N86"/>
      <c r="Q86"/>
      <c r="T86"/>
      <c r="X86"/>
      <c r="Y86"/>
      <c r="Z86"/>
      <c r="AA86"/>
      <c r="AB86"/>
      <c r="AC86"/>
      <c r="AD86"/>
      <c r="AE86"/>
      <c r="AF86"/>
      <c r="AG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</row>
  </sheetData>
  <mergeCells count="10">
    <mergeCell ref="AX5:BA5"/>
    <mergeCell ref="C2:E3"/>
    <mergeCell ref="X5:AM5"/>
    <mergeCell ref="AT5:AV5"/>
    <mergeCell ref="BB5:BD5"/>
    <mergeCell ref="N5:W5"/>
    <mergeCell ref="AN5:AS5"/>
    <mergeCell ref="C5:G5"/>
    <mergeCell ref="L5:M5"/>
    <mergeCell ref="H5:K5"/>
  </mergeCells>
  <conditionalFormatting sqref="W7:W8 AV7:AV10 BD7:BD10">
    <cfRule type="cellIs" dxfId="8" priority="111" operator="between">
      <formula>1</formula>
      <formula>9</formula>
    </cfRule>
    <cfRule type="cellIs" dxfId="7" priority="112" operator="between">
      <formula>10</formula>
      <formula>17</formula>
    </cfRule>
    <cfRule type="cellIs" dxfId="6" priority="113" operator="between">
      <formula>18</formula>
      <formula>27</formula>
    </cfRule>
    <cfRule type="cellIs" dxfId="5" priority="114" operator="between">
      <formula>28</formula>
      <formula>60</formula>
    </cfRule>
  </conditionalFormatting>
  <conditionalFormatting sqref="Y7:AD8 AL7:AL8 AX7:AX10 AZ7:AZ10">
    <cfRule type="beginsWith" dxfId="4" priority="23" operator="beginsWith" text="0">
      <formula>LEFT(Y7,LEN("0"))="0"</formula>
    </cfRule>
    <cfRule type="cellIs" priority="24" operator="lessThan">
      <formula>0</formula>
    </cfRule>
    <cfRule type="cellIs" dxfId="3" priority="25" operator="equal">
      <formula>1</formula>
    </cfRule>
    <cfRule type="cellIs" dxfId="2" priority="26" operator="equal">
      <formula>2</formula>
    </cfRule>
    <cfRule type="cellIs" dxfId="1" priority="27" operator="equal">
      <formula>3</formula>
    </cfRule>
    <cfRule type="cellIs" dxfId="0" priority="28" operator="equal">
      <formula>4</formula>
    </cfRule>
  </conditionalFormatting>
  <dataValidations count="3">
    <dataValidation type="list" allowBlank="1" showInputMessage="1" showErrorMessage="1" sqref="I7:I10" xr:uid="{00000000-0002-0000-0100-000000000000}">
      <formula1>INDIRECT($H$7)</formula1>
    </dataValidation>
    <dataValidation type="list" allowBlank="1" showInputMessage="1" showErrorMessage="1" sqref="H7:H10" xr:uid="{00000000-0002-0000-0100-000001000000}">
      <formula1>CATEGORIE</formula1>
    </dataValidation>
    <dataValidation type="list" allowBlank="1" showInputMessage="1" showErrorMessage="1" sqref="J7:J10" xr:uid="{00000000-0002-0000-0100-000002000000}">
      <formula1>nessuno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workbookViewId="0"/>
  </sheetViews>
  <sheetFormatPr baseColWidth="10" defaultColWidth="8.83203125" defaultRowHeight="15"/>
  <cols>
    <col min="2" max="2" width="27.5" customWidth="1"/>
    <col min="3" max="3" width="10.5" customWidth="1"/>
    <col min="4" max="4" width="12.6640625" customWidth="1"/>
    <col min="6" max="6" width="20.33203125" customWidth="1"/>
    <col min="7" max="7" width="19.1640625" customWidth="1"/>
    <col min="8" max="8" width="23.83203125" customWidth="1"/>
    <col min="9" max="9" width="31.5" customWidth="1"/>
    <col min="10" max="10" width="19.5" customWidth="1"/>
  </cols>
  <sheetData>
    <row r="1" spans="2:12" ht="32">
      <c r="B1" s="158" t="s">
        <v>62</v>
      </c>
      <c r="D1" s="161" t="s">
        <v>63</v>
      </c>
      <c r="F1" s="159" t="s">
        <v>64</v>
      </c>
      <c r="G1" s="160" t="s">
        <v>65</v>
      </c>
      <c r="H1" s="159" t="s">
        <v>66</v>
      </c>
      <c r="I1" s="160" t="s">
        <v>67</v>
      </c>
      <c r="J1" s="160" t="s">
        <v>68</v>
      </c>
      <c r="L1" s="162" t="s">
        <v>69</v>
      </c>
    </row>
    <row r="2" spans="2:12" ht="26">
      <c r="D2" s="161" t="s">
        <v>70</v>
      </c>
      <c r="F2" s="159" t="s">
        <v>71</v>
      </c>
      <c r="G2" s="160" t="s">
        <v>72</v>
      </c>
      <c r="H2" s="159" t="s">
        <v>73</v>
      </c>
      <c r="I2" s="155" t="s">
        <v>74</v>
      </c>
      <c r="J2" s="160" t="s">
        <v>75</v>
      </c>
    </row>
    <row r="3" spans="2:12" ht="26">
      <c r="D3" s="161" t="s">
        <v>76</v>
      </c>
      <c r="F3" s="159" t="s">
        <v>77</v>
      </c>
      <c r="G3" s="160" t="s">
        <v>78</v>
      </c>
      <c r="H3" s="159" t="s">
        <v>79</v>
      </c>
      <c r="J3" s="160" t="s">
        <v>80</v>
      </c>
    </row>
    <row r="4" spans="2:12" ht="26">
      <c r="D4" s="161" t="s">
        <v>81</v>
      </c>
      <c r="F4" s="159" t="s">
        <v>82</v>
      </c>
      <c r="G4" s="160" t="s">
        <v>83</v>
      </c>
      <c r="H4" s="159" t="s">
        <v>84</v>
      </c>
      <c r="J4" s="160" t="s">
        <v>85</v>
      </c>
    </row>
    <row r="5" spans="2:12">
      <c r="D5" s="161" t="s">
        <v>86</v>
      </c>
      <c r="F5" s="156" t="s">
        <v>87</v>
      </c>
      <c r="G5" s="155" t="s">
        <v>88</v>
      </c>
      <c r="H5" s="159" t="s">
        <v>89</v>
      </c>
      <c r="J5" s="160" t="s">
        <v>90</v>
      </c>
    </row>
    <row r="6" spans="2:12" ht="39">
      <c r="H6" s="156" t="s">
        <v>91</v>
      </c>
      <c r="J6" s="155" t="s">
        <v>92</v>
      </c>
    </row>
    <row r="17" spans="7:7">
      <c r="G17" t="s">
        <v>63</v>
      </c>
    </row>
    <row r="18" spans="7:7">
      <c r="G18" t="s">
        <v>70</v>
      </c>
    </row>
    <row r="19" spans="7:7">
      <c r="G19" t="s">
        <v>76</v>
      </c>
    </row>
    <row r="20" spans="7:7">
      <c r="G20" t="s">
        <v>81</v>
      </c>
    </row>
    <row r="21" spans="7:7">
      <c r="G2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41"/>
  <sheetViews>
    <sheetView showGridLines="0" workbookViewId="0"/>
  </sheetViews>
  <sheetFormatPr baseColWidth="10" defaultColWidth="8.83203125" defaultRowHeight="15"/>
  <cols>
    <col min="1" max="2" width="3.6640625" style="4" customWidth="1"/>
    <col min="3" max="5" width="30.33203125" style="4" customWidth="1"/>
    <col min="6" max="6" width="20.83203125" style="4" customWidth="1"/>
    <col min="7" max="7" width="20.5" style="4" customWidth="1"/>
    <col min="8" max="8" width="16.5" style="4" customWidth="1"/>
    <col min="9" max="9" width="20.5" style="4" customWidth="1"/>
    <col min="10" max="10" width="15.1640625" style="4" customWidth="1"/>
    <col min="11" max="11" width="14.1640625" style="4" customWidth="1"/>
    <col min="12" max="12" width="8.83203125" style="4" customWidth="1"/>
    <col min="13" max="16384" width="8.83203125" style="4"/>
  </cols>
  <sheetData>
    <row r="2" spans="1:12">
      <c r="C2" s="200" t="s">
        <v>2</v>
      </c>
      <c r="D2" s="201"/>
      <c r="E2" s="201"/>
    </row>
    <row r="3" spans="1:12">
      <c r="C3" s="201"/>
      <c r="D3" s="201"/>
      <c r="E3" s="201"/>
    </row>
    <row r="4" spans="1:12" ht="17.5" customHeight="1">
      <c r="C4" s="149"/>
      <c r="D4" s="149"/>
      <c r="E4" s="149"/>
    </row>
    <row r="5" spans="1:12" ht="5.5" customHeight="1">
      <c r="C5" s="37"/>
      <c r="D5" s="38"/>
      <c r="E5" s="37"/>
      <c r="F5" s="39"/>
      <c r="G5" s="39"/>
      <c r="H5" s="39"/>
      <c r="I5" s="39"/>
      <c r="J5" s="39"/>
      <c r="K5" s="39"/>
    </row>
    <row r="6" spans="1:12" ht="55.75" customHeight="1">
      <c r="C6" s="41" t="s">
        <v>14</v>
      </c>
      <c r="D6" s="202" t="s">
        <v>93</v>
      </c>
      <c r="E6" s="201"/>
      <c r="F6" s="201"/>
      <c r="G6" s="201"/>
      <c r="H6" s="201"/>
      <c r="I6" s="201"/>
      <c r="J6" s="201"/>
      <c r="K6" s="201"/>
    </row>
    <row r="7" spans="1:12" ht="5.5" customHeight="1">
      <c r="C7" s="37"/>
      <c r="D7" s="38"/>
      <c r="E7" s="37"/>
      <c r="F7" s="39"/>
      <c r="G7" s="39"/>
      <c r="H7" s="39"/>
      <c r="I7" s="39"/>
      <c r="J7" s="39"/>
      <c r="K7" s="39"/>
    </row>
    <row r="8" spans="1:12" ht="55.75" customHeight="1">
      <c r="C8" s="41" t="s">
        <v>15</v>
      </c>
      <c r="D8" s="202" t="s">
        <v>94</v>
      </c>
      <c r="E8" s="201"/>
      <c r="F8" s="201"/>
      <c r="G8" s="201"/>
      <c r="H8" s="201"/>
      <c r="I8" s="201"/>
      <c r="J8" s="201"/>
      <c r="K8" s="201"/>
    </row>
    <row r="9" spans="1:12" s="40" customFormat="1" ht="5.5" customHeight="1">
      <c r="A9" s="36"/>
      <c r="B9" s="36"/>
      <c r="C9" s="37"/>
      <c r="D9" s="38"/>
      <c r="E9" s="37"/>
      <c r="F9" s="39"/>
      <c r="G9" s="39"/>
      <c r="H9" s="39"/>
      <c r="I9" s="39"/>
      <c r="J9" s="39"/>
      <c r="K9" s="39"/>
      <c r="L9" s="36"/>
    </row>
    <row r="10" spans="1:12" ht="56.25" customHeight="1">
      <c r="C10" s="41" t="s">
        <v>16</v>
      </c>
      <c r="D10" s="202" t="s">
        <v>95</v>
      </c>
      <c r="E10" s="201"/>
      <c r="F10" s="201"/>
      <c r="G10" s="201"/>
      <c r="H10" s="201"/>
      <c r="I10" s="201"/>
      <c r="J10" s="201"/>
      <c r="K10" s="201"/>
    </row>
    <row r="11" spans="1:12" s="40" customFormat="1" ht="5.5" customHeight="1">
      <c r="A11" s="36"/>
      <c r="B11" s="36"/>
      <c r="C11" s="37"/>
      <c r="D11" s="38"/>
      <c r="E11" s="37"/>
      <c r="F11" s="39"/>
      <c r="G11" s="39"/>
      <c r="H11" s="39"/>
      <c r="I11" s="39"/>
      <c r="J11" s="39"/>
      <c r="K11" s="39"/>
      <c r="L11" s="36"/>
    </row>
    <row r="12" spans="1:12" ht="56.25" customHeight="1">
      <c r="C12" s="41" t="s">
        <v>17</v>
      </c>
      <c r="D12" s="202" t="s">
        <v>96</v>
      </c>
      <c r="E12" s="201"/>
      <c r="F12" s="201"/>
      <c r="G12" s="201"/>
      <c r="H12" s="201"/>
      <c r="I12" s="201"/>
      <c r="J12" s="201"/>
      <c r="K12" s="201"/>
    </row>
    <row r="13" spans="1:12" s="40" customFormat="1" ht="5.5" customHeight="1">
      <c r="A13" s="36"/>
      <c r="B13" s="36"/>
      <c r="C13" s="37"/>
      <c r="D13" s="38"/>
      <c r="E13" s="37"/>
      <c r="F13" s="39"/>
      <c r="G13" s="39"/>
      <c r="H13" s="39"/>
      <c r="I13" s="39"/>
      <c r="J13" s="39"/>
      <c r="K13" s="39"/>
      <c r="L13" s="36"/>
    </row>
    <row r="14" spans="1:12" s="40" customFormat="1" ht="55.75" customHeight="1">
      <c r="A14" s="36"/>
      <c r="B14" s="36"/>
      <c r="C14" s="41" t="s">
        <v>18</v>
      </c>
      <c r="D14" s="202" t="s">
        <v>97</v>
      </c>
      <c r="E14" s="203"/>
      <c r="F14" s="203"/>
      <c r="G14" s="203"/>
      <c r="H14" s="203"/>
      <c r="I14" s="203"/>
      <c r="J14" s="203"/>
      <c r="K14" s="203"/>
      <c r="L14" s="36"/>
    </row>
    <row r="15" spans="1:12" s="40" customFormat="1" ht="5.5" customHeight="1">
      <c r="A15" s="36"/>
      <c r="B15" s="36"/>
      <c r="C15" s="37"/>
      <c r="D15" s="38"/>
      <c r="E15" s="37"/>
      <c r="F15" s="39"/>
      <c r="G15" s="39"/>
      <c r="H15" s="39"/>
      <c r="I15" s="39"/>
      <c r="J15" s="39"/>
      <c r="K15" s="39"/>
      <c r="L15" s="36"/>
    </row>
    <row r="16" spans="1:12" ht="56.25" customHeight="1">
      <c r="C16" s="41" t="s">
        <v>98</v>
      </c>
      <c r="D16" s="202" t="s">
        <v>99</v>
      </c>
      <c r="E16" s="201"/>
      <c r="F16" s="201"/>
      <c r="G16" s="201"/>
      <c r="H16" s="201"/>
      <c r="I16" s="201"/>
      <c r="J16" s="201"/>
      <c r="K16" s="201"/>
    </row>
    <row r="17" spans="1:12" s="40" customFormat="1" ht="5.25" customHeight="1">
      <c r="A17" s="36"/>
      <c r="B17" s="36"/>
      <c r="C17" s="37"/>
      <c r="D17" s="38"/>
      <c r="E17" s="37"/>
      <c r="F17" s="39"/>
      <c r="G17" s="39"/>
      <c r="H17" s="39"/>
      <c r="I17" s="39"/>
      <c r="J17" s="39"/>
      <c r="K17" s="39"/>
      <c r="L17" s="36"/>
    </row>
    <row r="18" spans="1:12" ht="56.25" customHeight="1">
      <c r="C18" s="41" t="s">
        <v>100</v>
      </c>
      <c r="D18" s="202" t="s">
        <v>101</v>
      </c>
      <c r="E18" s="201"/>
      <c r="F18" s="201"/>
      <c r="G18" s="201"/>
      <c r="H18" s="201"/>
      <c r="I18" s="201"/>
      <c r="J18" s="201"/>
      <c r="K18" s="201"/>
    </row>
    <row r="19" spans="1:12" s="40" customFormat="1" ht="5.5" customHeight="1">
      <c r="A19" s="36"/>
      <c r="B19" s="36"/>
      <c r="C19" s="37"/>
      <c r="D19" s="38"/>
      <c r="E19" s="37"/>
      <c r="F19" s="39"/>
      <c r="G19" s="39"/>
      <c r="H19" s="39"/>
      <c r="I19" s="39"/>
      <c r="J19" s="39"/>
      <c r="K19" s="39"/>
      <c r="L19" s="36"/>
    </row>
    <row r="20" spans="1:12" ht="56.25" customHeight="1">
      <c r="C20" s="41" t="s">
        <v>100</v>
      </c>
      <c r="D20" s="202" t="s">
        <v>102</v>
      </c>
      <c r="E20" s="201"/>
      <c r="F20" s="201"/>
      <c r="G20" s="201"/>
      <c r="H20" s="201"/>
      <c r="I20" s="201"/>
      <c r="J20" s="201"/>
      <c r="K20" s="201"/>
    </row>
    <row r="21" spans="1:12" s="40" customFormat="1" ht="5.5" customHeight="1">
      <c r="A21" s="36"/>
      <c r="B21" s="36"/>
      <c r="C21" s="37"/>
      <c r="D21" s="38"/>
      <c r="E21" s="37"/>
      <c r="F21" s="39"/>
      <c r="G21" s="39"/>
      <c r="H21" s="39"/>
      <c r="I21" s="39"/>
      <c r="J21" s="39"/>
      <c r="K21" s="39"/>
      <c r="L21" s="36"/>
    </row>
    <row r="22" spans="1:12" ht="56.25" customHeight="1">
      <c r="C22" s="41" t="s">
        <v>22</v>
      </c>
      <c r="D22" s="202" t="s">
        <v>103</v>
      </c>
      <c r="E22" s="201"/>
      <c r="F22" s="201"/>
      <c r="G22" s="201"/>
      <c r="H22" s="201"/>
      <c r="I22" s="201"/>
      <c r="J22" s="201"/>
      <c r="K22" s="201"/>
    </row>
    <row r="23" spans="1:12" s="40" customFormat="1" ht="5.5" customHeight="1">
      <c r="A23" s="36"/>
      <c r="B23" s="36"/>
      <c r="C23" s="37"/>
      <c r="D23" s="38"/>
      <c r="E23" s="37"/>
      <c r="F23" s="39"/>
      <c r="G23" s="39"/>
      <c r="H23" s="39"/>
      <c r="I23" s="39"/>
      <c r="J23" s="39"/>
      <c r="K23" s="39"/>
      <c r="L23" s="36"/>
    </row>
    <row r="24" spans="1:12" ht="56.25" customHeight="1">
      <c r="C24" s="41" t="s">
        <v>23</v>
      </c>
      <c r="D24" s="202" t="s">
        <v>104</v>
      </c>
      <c r="E24" s="201"/>
      <c r="F24" s="201"/>
      <c r="G24" s="201"/>
      <c r="H24" s="201"/>
      <c r="I24" s="201"/>
      <c r="J24" s="201"/>
      <c r="K24" s="201"/>
    </row>
    <row r="25" spans="1:12" s="40" customFormat="1" ht="5.5" customHeight="1">
      <c r="A25" s="36"/>
      <c r="B25" s="36"/>
      <c r="C25" s="37"/>
      <c r="D25" s="38"/>
      <c r="E25" s="37"/>
      <c r="F25" s="39"/>
      <c r="G25" s="39"/>
      <c r="H25" s="39"/>
      <c r="I25" s="39"/>
      <c r="J25" s="39"/>
      <c r="K25" s="39"/>
      <c r="L25" s="36"/>
    </row>
    <row r="26" spans="1:12" ht="56.25" customHeight="1">
      <c r="C26" s="41" t="s">
        <v>24</v>
      </c>
      <c r="D26" s="202" t="s">
        <v>105</v>
      </c>
      <c r="E26" s="201"/>
      <c r="F26" s="201"/>
      <c r="G26" s="201"/>
      <c r="H26" s="201"/>
      <c r="I26" s="201"/>
      <c r="J26" s="201"/>
      <c r="K26" s="201"/>
    </row>
    <row r="27" spans="1:12" s="40" customFormat="1" ht="5.5" customHeight="1">
      <c r="A27" s="36"/>
      <c r="B27" s="36"/>
      <c r="C27" s="37"/>
      <c r="D27" s="38"/>
      <c r="E27" s="37"/>
      <c r="F27" s="39"/>
      <c r="G27" s="39"/>
      <c r="H27" s="39"/>
      <c r="I27" s="39"/>
      <c r="J27" s="39"/>
      <c r="K27" s="39"/>
      <c r="L27" s="36"/>
    </row>
    <row r="28" spans="1:12" ht="56.25" customHeight="1">
      <c r="C28" s="41" t="s">
        <v>106</v>
      </c>
      <c r="D28" s="202" t="s">
        <v>107</v>
      </c>
      <c r="E28" s="201"/>
      <c r="F28" s="201"/>
      <c r="G28" s="201"/>
      <c r="H28" s="201"/>
      <c r="I28" s="201"/>
      <c r="J28" s="201"/>
      <c r="K28" s="201"/>
    </row>
    <row r="29" spans="1:12" s="40" customFormat="1" ht="5.5" customHeight="1">
      <c r="A29" s="36"/>
      <c r="B29" s="36"/>
      <c r="C29" s="37"/>
      <c r="D29" s="42"/>
      <c r="E29" s="43"/>
      <c r="F29" s="44"/>
      <c r="G29" s="44"/>
      <c r="H29" s="44"/>
      <c r="I29" s="44"/>
      <c r="J29" s="44"/>
      <c r="K29" s="44"/>
      <c r="L29" s="36"/>
    </row>
    <row r="30" spans="1:12" ht="56.25" customHeight="1">
      <c r="C30" s="41" t="s">
        <v>108</v>
      </c>
      <c r="D30" s="202" t="s">
        <v>109</v>
      </c>
      <c r="E30" s="201"/>
      <c r="F30" s="201"/>
      <c r="G30" s="201"/>
      <c r="H30" s="201"/>
      <c r="I30" s="201"/>
      <c r="J30" s="201"/>
      <c r="K30" s="201"/>
    </row>
    <row r="31" spans="1:12" s="40" customFormat="1" ht="5.5" customHeight="1">
      <c r="A31" s="36"/>
      <c r="B31" s="36"/>
      <c r="C31" s="37"/>
      <c r="D31" s="42"/>
      <c r="E31" s="43"/>
      <c r="F31" s="44"/>
      <c r="G31" s="44"/>
      <c r="H31" s="44"/>
      <c r="I31" s="44"/>
      <c r="J31" s="44"/>
      <c r="K31" s="44"/>
      <c r="L31" s="36"/>
    </row>
    <row r="32" spans="1:12" ht="56.25" customHeight="1">
      <c r="C32" s="41" t="s">
        <v>110</v>
      </c>
      <c r="D32" s="202" t="s">
        <v>111</v>
      </c>
      <c r="E32" s="201"/>
      <c r="F32" s="201"/>
      <c r="G32" s="201"/>
      <c r="H32" s="201"/>
      <c r="I32" s="201"/>
      <c r="J32" s="201"/>
      <c r="K32" s="201"/>
    </row>
    <row r="33" spans="1:12" s="40" customFormat="1" ht="5.5" customHeight="1">
      <c r="A33" s="36"/>
      <c r="B33" s="36"/>
      <c r="C33" s="37"/>
      <c r="D33" s="42"/>
      <c r="E33" s="43"/>
      <c r="F33" s="44"/>
      <c r="G33" s="44"/>
      <c r="H33" s="44"/>
      <c r="I33" s="44"/>
      <c r="J33" s="44"/>
      <c r="K33" s="44"/>
      <c r="L33" s="36"/>
    </row>
    <row r="34" spans="1:12" ht="56.25" customHeight="1">
      <c r="C34" s="41" t="s">
        <v>112</v>
      </c>
      <c r="D34" s="202" t="s">
        <v>113</v>
      </c>
      <c r="E34" s="201"/>
      <c r="F34" s="201"/>
      <c r="G34" s="201"/>
      <c r="H34" s="201"/>
      <c r="I34" s="201"/>
      <c r="J34" s="201"/>
      <c r="K34" s="201"/>
    </row>
    <row r="35" spans="1:12" s="40" customFormat="1" ht="5.5" customHeight="1">
      <c r="A35" s="36"/>
      <c r="B35" s="36"/>
      <c r="C35" s="37"/>
      <c r="D35" s="42"/>
      <c r="E35" s="43"/>
      <c r="F35" s="44"/>
      <c r="G35" s="44"/>
      <c r="H35" s="44"/>
      <c r="I35" s="44"/>
      <c r="J35" s="44"/>
      <c r="K35" s="44"/>
      <c r="L35" s="36"/>
    </row>
    <row r="36" spans="1:12" ht="56.25" customHeight="1">
      <c r="C36" s="41" t="s">
        <v>114</v>
      </c>
      <c r="D36" s="202" t="s">
        <v>115</v>
      </c>
      <c r="E36" s="201"/>
      <c r="F36" s="201"/>
      <c r="G36" s="201"/>
      <c r="H36" s="201"/>
      <c r="I36" s="201"/>
      <c r="J36" s="201"/>
      <c r="K36" s="201"/>
    </row>
    <row r="37" spans="1:12" s="40" customFormat="1" ht="5.5" customHeight="1">
      <c r="A37" s="36"/>
      <c r="B37" s="36"/>
      <c r="C37" s="37"/>
      <c r="D37" s="42"/>
      <c r="E37" s="43"/>
      <c r="F37" s="44"/>
      <c r="G37" s="44"/>
      <c r="H37" s="44"/>
      <c r="I37" s="44"/>
      <c r="J37" s="44"/>
      <c r="K37" s="44"/>
      <c r="L37" s="36"/>
    </row>
    <row r="38" spans="1:12" ht="56.25" customHeight="1">
      <c r="C38" s="41" t="s">
        <v>116</v>
      </c>
      <c r="D38" s="202" t="s">
        <v>117</v>
      </c>
      <c r="E38" s="201"/>
      <c r="F38" s="201"/>
      <c r="G38" s="201"/>
      <c r="H38" s="201"/>
      <c r="I38" s="201"/>
      <c r="J38" s="201"/>
      <c r="K38" s="201"/>
    </row>
    <row r="39" spans="1:12" s="40" customFormat="1" ht="5.5" customHeight="1">
      <c r="A39" s="36"/>
      <c r="B39" s="36"/>
      <c r="C39" s="37"/>
      <c r="D39" s="42"/>
      <c r="E39" s="43"/>
      <c r="F39" s="44"/>
      <c r="G39" s="44"/>
      <c r="H39" s="44"/>
      <c r="I39" s="44"/>
      <c r="J39" s="44"/>
      <c r="K39" s="44"/>
      <c r="L39" s="36"/>
    </row>
    <row r="40" spans="1:12" ht="56.25" customHeight="1">
      <c r="C40" s="41" t="s">
        <v>118</v>
      </c>
      <c r="D40" s="202" t="s">
        <v>119</v>
      </c>
      <c r="E40" s="201"/>
      <c r="F40" s="201"/>
      <c r="G40" s="201"/>
      <c r="H40" s="201"/>
      <c r="I40" s="201"/>
      <c r="J40" s="201"/>
      <c r="K40" s="201"/>
    </row>
    <row r="41" spans="1:12" s="40" customFormat="1" ht="5.5" customHeight="1">
      <c r="A41" s="36"/>
      <c r="B41" s="36"/>
      <c r="C41" s="37"/>
      <c r="D41" s="42"/>
      <c r="E41" s="43"/>
      <c r="F41" s="44"/>
      <c r="G41" s="44"/>
      <c r="H41" s="44"/>
      <c r="I41" s="44"/>
      <c r="J41" s="44"/>
      <c r="K41" s="44"/>
      <c r="L41" s="36"/>
    </row>
  </sheetData>
  <mergeCells count="19">
    <mergeCell ref="D40:K40"/>
    <mergeCell ref="D36:K36"/>
    <mergeCell ref="D6:K6"/>
    <mergeCell ref="D32:K32"/>
    <mergeCell ref="D16:K16"/>
    <mergeCell ref="D28:K28"/>
    <mergeCell ref="D12:K12"/>
    <mergeCell ref="D18:K18"/>
    <mergeCell ref="D20:K20"/>
    <mergeCell ref="D26:K26"/>
    <mergeCell ref="D34:K34"/>
    <mergeCell ref="D10:K10"/>
    <mergeCell ref="D22:K22"/>
    <mergeCell ref="C2:E3"/>
    <mergeCell ref="D30:K30"/>
    <mergeCell ref="D8:K8"/>
    <mergeCell ref="D24:K24"/>
    <mergeCell ref="D38:K38"/>
    <mergeCell ref="D14:K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G67"/>
  <sheetViews>
    <sheetView showGridLines="0" workbookViewId="0"/>
  </sheetViews>
  <sheetFormatPr baseColWidth="10" defaultColWidth="8.83203125" defaultRowHeight="15"/>
  <cols>
    <col min="1" max="2" width="3.6640625" customWidth="1"/>
    <col min="3" max="3" width="33" customWidth="1"/>
    <col min="4" max="4" width="33.6640625" customWidth="1"/>
    <col min="5" max="5" width="89.83203125" customWidth="1"/>
    <col min="6" max="6" width="30.33203125" customWidth="1"/>
    <col min="7" max="7" width="71.6640625" customWidth="1"/>
  </cols>
  <sheetData>
    <row r="1" spans="3:7" ht="17.5" customHeight="1"/>
    <row r="2" spans="3:7" ht="17.5" customHeight="1">
      <c r="C2" s="217" t="s">
        <v>3</v>
      </c>
      <c r="D2" s="218"/>
      <c r="E2" s="218"/>
    </row>
    <row r="3" spans="3:7" ht="17.5" customHeight="1">
      <c r="C3" s="218"/>
      <c r="D3" s="218"/>
      <c r="E3" s="218"/>
    </row>
    <row r="4" spans="3:7" ht="17.5" customHeight="1">
      <c r="E4" s="45"/>
    </row>
    <row r="5" spans="3:7" ht="16">
      <c r="C5" s="46" t="s">
        <v>120</v>
      </c>
      <c r="D5" s="1" t="s">
        <v>121</v>
      </c>
      <c r="E5" s="10" t="s">
        <v>122</v>
      </c>
      <c r="F5" s="47" t="s">
        <v>123</v>
      </c>
      <c r="G5" s="10" t="s">
        <v>122</v>
      </c>
    </row>
    <row r="6" spans="3:7" ht="21.25" customHeight="1">
      <c r="C6" s="212" t="s">
        <v>124</v>
      </c>
      <c r="D6" s="151" t="s">
        <v>125</v>
      </c>
      <c r="E6" s="48" t="s">
        <v>126</v>
      </c>
      <c r="F6" s="204"/>
      <c r="G6" s="72"/>
    </row>
    <row r="7" spans="3:7" ht="31.75" customHeight="1">
      <c r="C7" s="205"/>
      <c r="D7" s="151" t="s">
        <v>127</v>
      </c>
      <c r="E7" s="48" t="s">
        <v>128</v>
      </c>
      <c r="F7" s="205"/>
      <c r="G7" s="72"/>
    </row>
    <row r="8" spans="3:7" ht="21.25" customHeight="1">
      <c r="C8" s="205"/>
      <c r="D8" s="151" t="s">
        <v>129</v>
      </c>
      <c r="E8" s="48" t="s">
        <v>130</v>
      </c>
      <c r="F8" s="205"/>
      <c r="G8" s="72"/>
    </row>
    <row r="9" spans="3:7" ht="42.5" customHeight="1">
      <c r="C9" s="205"/>
      <c r="D9" s="151" t="s">
        <v>131</v>
      </c>
      <c r="E9" s="48" t="s">
        <v>132</v>
      </c>
      <c r="F9" s="205"/>
      <c r="G9" s="72"/>
    </row>
    <row r="10" spans="3:7" ht="21.25" customHeight="1">
      <c r="C10" s="205"/>
      <c r="D10" s="151" t="s">
        <v>133</v>
      </c>
      <c r="E10" s="48" t="s">
        <v>134</v>
      </c>
      <c r="F10" s="205"/>
      <c r="G10" s="72"/>
    </row>
    <row r="11" spans="3:7" ht="21.25" customHeight="1">
      <c r="C11" s="205"/>
      <c r="D11" s="151" t="s">
        <v>135</v>
      </c>
      <c r="E11" s="48" t="s">
        <v>136</v>
      </c>
      <c r="F11" s="205"/>
      <c r="G11" s="72"/>
    </row>
    <row r="12" spans="3:7" ht="42.5" customHeight="1">
      <c r="C12" s="205"/>
      <c r="D12" s="151" t="s">
        <v>137</v>
      </c>
      <c r="E12" s="48" t="s">
        <v>138</v>
      </c>
      <c r="F12" s="205"/>
      <c r="G12" s="72"/>
    </row>
    <row r="13" spans="3:7" ht="21.25" customHeight="1">
      <c r="C13" s="205"/>
      <c r="D13" s="151" t="s">
        <v>139</v>
      </c>
      <c r="E13" s="48" t="s">
        <v>140</v>
      </c>
      <c r="F13" s="205"/>
      <c r="G13" s="72"/>
    </row>
    <row r="14" spans="3:7" ht="21.25" customHeight="1">
      <c r="C14" s="205"/>
      <c r="D14" s="151" t="s">
        <v>141</v>
      </c>
      <c r="E14" s="48" t="s">
        <v>142</v>
      </c>
      <c r="F14" s="205"/>
      <c r="G14" s="72"/>
    </row>
    <row r="15" spans="3:7" ht="21.25" customHeight="1">
      <c r="C15" s="205"/>
      <c r="D15" s="151" t="s">
        <v>143</v>
      </c>
      <c r="E15" s="48" t="s">
        <v>144</v>
      </c>
      <c r="F15" s="205"/>
      <c r="G15" s="72"/>
    </row>
    <row r="16" spans="3:7" ht="31.75" customHeight="1">
      <c r="C16" s="205"/>
      <c r="D16" s="151" t="s">
        <v>145</v>
      </c>
      <c r="E16" s="48" t="s">
        <v>146</v>
      </c>
      <c r="F16" s="205"/>
      <c r="G16" s="72"/>
    </row>
    <row r="17" spans="3:7" ht="21.25" customHeight="1">
      <c r="C17" s="205"/>
      <c r="D17" s="151" t="s">
        <v>147</v>
      </c>
      <c r="E17" s="48" t="s">
        <v>148</v>
      </c>
      <c r="F17" s="205"/>
      <c r="G17" s="72"/>
    </row>
    <row r="18" spans="3:7" ht="31.75" customHeight="1">
      <c r="C18" s="205"/>
      <c r="D18" s="151" t="s">
        <v>149</v>
      </c>
      <c r="E18" s="48" t="s">
        <v>150</v>
      </c>
      <c r="F18" s="205"/>
      <c r="G18" s="72"/>
    </row>
    <row r="19" spans="3:7" ht="21.25" customHeight="1">
      <c r="C19" s="206"/>
      <c r="D19" s="151" t="s">
        <v>151</v>
      </c>
      <c r="E19" s="48" t="s">
        <v>152</v>
      </c>
      <c r="F19" s="206"/>
      <c r="G19" s="72"/>
    </row>
    <row r="20" spans="3:7" ht="22.5" customHeight="1">
      <c r="C20" s="219" t="s">
        <v>153</v>
      </c>
      <c r="D20" s="157" t="s">
        <v>64</v>
      </c>
      <c r="E20" s="56" t="s">
        <v>154</v>
      </c>
      <c r="F20" s="53"/>
      <c r="G20" s="55"/>
    </row>
    <row r="21" spans="3:7" ht="21.25" customHeight="1">
      <c r="C21" s="208"/>
      <c r="D21" s="150" t="s">
        <v>155</v>
      </c>
      <c r="E21" s="48" t="s">
        <v>156</v>
      </c>
      <c r="F21" s="53"/>
      <c r="G21" s="55"/>
    </row>
    <row r="22" spans="3:7" ht="21.25" customHeight="1">
      <c r="C22" s="208"/>
      <c r="D22" s="156" t="s">
        <v>71</v>
      </c>
      <c r="E22" s="48" t="s">
        <v>157</v>
      </c>
      <c r="F22" s="53"/>
      <c r="G22" s="55"/>
    </row>
    <row r="23" spans="3:7" ht="21.25" customHeight="1">
      <c r="C23" s="208"/>
      <c r="D23" s="156" t="s">
        <v>77</v>
      </c>
      <c r="E23" s="48" t="s">
        <v>158</v>
      </c>
      <c r="F23" s="53"/>
      <c r="G23" s="55"/>
    </row>
    <row r="24" spans="3:7" ht="21.25" customHeight="1">
      <c r="C24" s="208"/>
      <c r="D24" s="156" t="s">
        <v>82</v>
      </c>
      <c r="E24" s="48" t="s">
        <v>159</v>
      </c>
      <c r="F24" s="53"/>
      <c r="G24" s="55"/>
    </row>
    <row r="25" spans="3:7" ht="21.25" customHeight="1">
      <c r="C25" s="209"/>
      <c r="D25" s="156" t="s">
        <v>87</v>
      </c>
      <c r="E25" s="48" t="s">
        <v>160</v>
      </c>
      <c r="F25" s="57"/>
      <c r="G25" s="58"/>
    </row>
    <row r="26" spans="3:7" ht="21.25" customHeight="1">
      <c r="C26" s="207" t="s">
        <v>161</v>
      </c>
      <c r="D26" s="155" t="s">
        <v>65</v>
      </c>
      <c r="E26" s="48" t="s">
        <v>162</v>
      </c>
      <c r="F26" s="152"/>
      <c r="G26" s="55"/>
    </row>
    <row r="27" spans="3:7" ht="21.25" customHeight="1">
      <c r="C27" s="208"/>
      <c r="D27" s="155" t="s">
        <v>72</v>
      </c>
      <c r="E27" s="48" t="s">
        <v>163</v>
      </c>
      <c r="F27" s="152"/>
      <c r="G27" s="55"/>
    </row>
    <row r="28" spans="3:7">
      <c r="C28" s="208"/>
      <c r="D28" s="155" t="s">
        <v>78</v>
      </c>
      <c r="E28" s="48" t="s">
        <v>164</v>
      </c>
      <c r="F28" s="152"/>
      <c r="G28" s="55"/>
    </row>
    <row r="29" spans="3:7" ht="21.25" customHeight="1">
      <c r="C29" s="208"/>
      <c r="D29" s="155" t="s">
        <v>83</v>
      </c>
      <c r="E29" s="48" t="s">
        <v>165</v>
      </c>
      <c r="F29" s="152"/>
      <c r="G29" s="55"/>
    </row>
    <row r="30" spans="3:7">
      <c r="C30" s="209"/>
      <c r="D30" s="155" t="s">
        <v>88</v>
      </c>
      <c r="E30" s="48" t="s">
        <v>166</v>
      </c>
      <c r="F30" s="153"/>
      <c r="G30" s="58"/>
    </row>
    <row r="31" spans="3:7" ht="21.25" customHeight="1">
      <c r="C31" s="213" t="s">
        <v>167</v>
      </c>
      <c r="D31" s="156" t="s">
        <v>66</v>
      </c>
      <c r="E31" s="48" t="s">
        <v>168</v>
      </c>
      <c r="F31" s="59"/>
      <c r="G31" s="60"/>
    </row>
    <row r="32" spans="3:7" ht="21.25" customHeight="1">
      <c r="C32" s="214"/>
      <c r="D32" s="156" t="s">
        <v>73</v>
      </c>
      <c r="E32" s="48" t="s">
        <v>169</v>
      </c>
      <c r="F32" s="53"/>
      <c r="G32" s="55"/>
    </row>
    <row r="33" spans="3:7" ht="31.75" customHeight="1">
      <c r="C33" s="214"/>
      <c r="D33" s="156" t="s">
        <v>79</v>
      </c>
      <c r="E33" s="48" t="s">
        <v>170</v>
      </c>
      <c r="F33" s="53"/>
      <c r="G33" s="55"/>
    </row>
    <row r="34" spans="3:7" ht="21.25" customHeight="1">
      <c r="C34" s="214"/>
      <c r="D34" s="156" t="s">
        <v>84</v>
      </c>
      <c r="E34" s="48" t="s">
        <v>171</v>
      </c>
      <c r="F34" s="53"/>
      <c r="G34" s="55"/>
    </row>
    <row r="35" spans="3:7" ht="21.25" customHeight="1">
      <c r="C35" s="214"/>
      <c r="D35" s="156" t="s">
        <v>89</v>
      </c>
      <c r="E35" s="48" t="s">
        <v>172</v>
      </c>
      <c r="F35" s="53"/>
      <c r="G35" s="55"/>
    </row>
    <row r="36" spans="3:7" ht="21.25" customHeight="1">
      <c r="C36" s="215"/>
      <c r="D36" s="156" t="s">
        <v>91</v>
      </c>
      <c r="E36" s="48" t="s">
        <v>173</v>
      </c>
      <c r="F36" s="57"/>
      <c r="G36" s="58"/>
    </row>
    <row r="37" spans="3:7" ht="21.25" customHeight="1">
      <c r="C37" s="207" t="s">
        <v>174</v>
      </c>
      <c r="D37" s="151" t="s">
        <v>175</v>
      </c>
      <c r="E37" s="48" t="s">
        <v>176</v>
      </c>
      <c r="F37" s="51"/>
      <c r="G37" s="54"/>
    </row>
    <row r="38" spans="3:7" ht="31.75" customHeight="1">
      <c r="C38" s="208"/>
      <c r="D38" s="151" t="s">
        <v>177</v>
      </c>
      <c r="E38" s="48" t="s">
        <v>178</v>
      </c>
      <c r="F38" s="52"/>
      <c r="G38" s="54"/>
    </row>
    <row r="39" spans="3:7" ht="21.25" customHeight="1">
      <c r="C39" s="208"/>
      <c r="D39" s="151" t="s">
        <v>179</v>
      </c>
      <c r="E39" s="48" t="s">
        <v>180</v>
      </c>
      <c r="F39" s="52"/>
      <c r="G39" s="54"/>
    </row>
    <row r="40" spans="3:7" ht="31.75" customHeight="1">
      <c r="C40" s="208"/>
      <c r="D40" s="151" t="s">
        <v>181</v>
      </c>
      <c r="E40" s="48" t="s">
        <v>182</v>
      </c>
      <c r="F40" s="52"/>
      <c r="G40" s="54"/>
    </row>
    <row r="41" spans="3:7" ht="22.5" customHeight="1">
      <c r="C41" s="208"/>
      <c r="D41" s="151" t="s">
        <v>183</v>
      </c>
      <c r="E41" s="48" t="s">
        <v>184</v>
      </c>
      <c r="F41" s="52"/>
      <c r="G41" s="54"/>
    </row>
    <row r="42" spans="3:7" ht="21.25" customHeight="1">
      <c r="C42" s="208"/>
      <c r="D42" s="151" t="s">
        <v>185</v>
      </c>
      <c r="E42" s="48" t="s">
        <v>186</v>
      </c>
      <c r="F42" s="52"/>
      <c r="G42" s="54"/>
    </row>
    <row r="43" spans="3:7" ht="31.75" customHeight="1">
      <c r="C43" s="208"/>
      <c r="D43" s="155" t="s">
        <v>67</v>
      </c>
      <c r="E43" s="48" t="s">
        <v>187</v>
      </c>
      <c r="F43" s="52"/>
      <c r="G43" s="54"/>
    </row>
    <row r="44" spans="3:7" ht="21.25" customHeight="1">
      <c r="C44" s="208"/>
      <c r="D44" s="155" t="s">
        <v>74</v>
      </c>
      <c r="E44" s="48" t="s">
        <v>188</v>
      </c>
      <c r="F44" s="52"/>
      <c r="G44" s="54"/>
    </row>
    <row r="45" spans="3:7" ht="21.25" customHeight="1">
      <c r="C45" s="208"/>
      <c r="D45" s="151" t="s">
        <v>189</v>
      </c>
      <c r="E45" s="48" t="s">
        <v>190</v>
      </c>
      <c r="F45" s="52"/>
      <c r="G45" s="54"/>
    </row>
    <row r="46" spans="3:7" ht="21.25" customHeight="1">
      <c r="C46" s="208"/>
      <c r="D46" s="151" t="s">
        <v>191</v>
      </c>
      <c r="E46" s="48" t="s">
        <v>192</v>
      </c>
      <c r="F46" s="52"/>
      <c r="G46" s="54"/>
    </row>
    <row r="47" spans="3:7" ht="22.5" customHeight="1">
      <c r="C47" s="208"/>
      <c r="D47" s="210" t="s">
        <v>193</v>
      </c>
      <c r="E47" s="211" t="s">
        <v>194</v>
      </c>
      <c r="F47" s="151" t="s">
        <v>195</v>
      </c>
      <c r="G47" s="48" t="s">
        <v>196</v>
      </c>
    </row>
    <row r="48" spans="3:7" ht="21.25" customHeight="1">
      <c r="C48" s="208"/>
      <c r="D48" s="205"/>
      <c r="E48" s="205"/>
      <c r="F48" s="151" t="s">
        <v>197</v>
      </c>
      <c r="G48" s="48" t="s">
        <v>198</v>
      </c>
    </row>
    <row r="49" spans="3:7">
      <c r="C49" s="208"/>
      <c r="D49" s="206"/>
      <c r="E49" s="206"/>
      <c r="F49" s="151" t="s">
        <v>199</v>
      </c>
      <c r="G49" s="48" t="s">
        <v>200</v>
      </c>
    </row>
    <row r="50" spans="3:7">
      <c r="C50" s="208"/>
      <c r="D50" s="210" t="s">
        <v>201</v>
      </c>
      <c r="E50" s="211" t="s">
        <v>202</v>
      </c>
      <c r="F50" s="151" t="s">
        <v>203</v>
      </c>
      <c r="G50" s="48" t="s">
        <v>204</v>
      </c>
    </row>
    <row r="51" spans="3:7" ht="21.25" customHeight="1">
      <c r="C51" s="208"/>
      <c r="D51" s="205"/>
      <c r="E51" s="205"/>
      <c r="F51" s="151" t="s">
        <v>205</v>
      </c>
      <c r="G51" s="48" t="s">
        <v>206</v>
      </c>
    </row>
    <row r="52" spans="3:7" ht="31.75" customHeight="1">
      <c r="C52" s="208"/>
      <c r="D52" s="205"/>
      <c r="E52" s="205"/>
      <c r="F52" s="151" t="s">
        <v>207</v>
      </c>
      <c r="G52" s="48" t="s">
        <v>208</v>
      </c>
    </row>
    <row r="53" spans="3:7" ht="21.25" customHeight="1">
      <c r="C53" s="208"/>
      <c r="D53" s="205"/>
      <c r="E53" s="205"/>
      <c r="F53" s="151" t="s">
        <v>209</v>
      </c>
      <c r="G53" s="48" t="s">
        <v>210</v>
      </c>
    </row>
    <row r="54" spans="3:7">
      <c r="C54" s="208"/>
      <c r="D54" s="205"/>
      <c r="E54" s="205"/>
      <c r="F54" s="151" t="s">
        <v>211</v>
      </c>
      <c r="G54" s="48" t="s">
        <v>212</v>
      </c>
    </row>
    <row r="55" spans="3:7" ht="21.25" customHeight="1">
      <c r="C55" s="208"/>
      <c r="D55" s="205"/>
      <c r="E55" s="205"/>
      <c r="F55" s="151" t="s">
        <v>213</v>
      </c>
      <c r="G55" s="48" t="s">
        <v>214</v>
      </c>
    </row>
    <row r="56" spans="3:7" ht="31.75" customHeight="1">
      <c r="C56" s="208"/>
      <c r="D56" s="205"/>
      <c r="E56" s="205"/>
      <c r="F56" s="151" t="s">
        <v>215</v>
      </c>
      <c r="G56" s="48" t="s">
        <v>216</v>
      </c>
    </row>
    <row r="57" spans="3:7" ht="22.5" customHeight="1">
      <c r="C57" s="208"/>
      <c r="D57" s="205"/>
      <c r="E57" s="205"/>
      <c r="F57" s="151" t="s">
        <v>217</v>
      </c>
      <c r="G57" s="48" t="s">
        <v>218</v>
      </c>
    </row>
    <row r="58" spans="3:7" ht="21.25" customHeight="1">
      <c r="C58" s="208"/>
      <c r="D58" s="205"/>
      <c r="E58" s="205"/>
      <c r="F58" s="151" t="s">
        <v>219</v>
      </c>
      <c r="G58" s="48" t="s">
        <v>220</v>
      </c>
    </row>
    <row r="59" spans="3:7" ht="21.25" customHeight="1">
      <c r="C59" s="208"/>
      <c r="D59" s="205"/>
      <c r="E59" s="205"/>
      <c r="F59" s="151" t="s">
        <v>221</v>
      </c>
      <c r="G59" s="48" t="s">
        <v>222</v>
      </c>
    </row>
    <row r="60" spans="3:7" ht="21.25" customHeight="1">
      <c r="C60" s="208"/>
      <c r="D60" s="205"/>
      <c r="E60" s="205"/>
      <c r="F60" s="151" t="s">
        <v>223</v>
      </c>
      <c r="G60" s="48" t="s">
        <v>224</v>
      </c>
    </row>
    <row r="61" spans="3:7">
      <c r="C61" s="209"/>
      <c r="D61" s="206"/>
      <c r="E61" s="206"/>
      <c r="F61" s="151" t="s">
        <v>225</v>
      </c>
      <c r="G61" s="48" t="s">
        <v>226</v>
      </c>
    </row>
    <row r="62" spans="3:7">
      <c r="C62" s="216" t="s">
        <v>227</v>
      </c>
      <c r="D62" s="154" t="s">
        <v>68</v>
      </c>
      <c r="E62" s="56" t="s">
        <v>228</v>
      </c>
      <c r="F62" s="152"/>
      <c r="G62" s="55"/>
    </row>
    <row r="63" spans="3:7">
      <c r="C63" s="208"/>
      <c r="D63" s="155" t="s">
        <v>75</v>
      </c>
      <c r="E63" s="48" t="s">
        <v>229</v>
      </c>
      <c r="F63" s="152"/>
      <c r="G63" s="55"/>
    </row>
    <row r="64" spans="3:7">
      <c r="C64" s="208"/>
      <c r="D64" s="155" t="s">
        <v>80</v>
      </c>
      <c r="E64" s="48" t="s">
        <v>230</v>
      </c>
      <c r="F64" s="152"/>
      <c r="G64" s="55"/>
    </row>
    <row r="65" spans="3:7" ht="22.5" customHeight="1">
      <c r="C65" s="208"/>
      <c r="D65" s="155" t="s">
        <v>85</v>
      </c>
      <c r="E65" s="48" t="s">
        <v>231</v>
      </c>
      <c r="F65" s="152"/>
      <c r="G65" s="55"/>
    </row>
    <row r="66" spans="3:7">
      <c r="C66" s="208"/>
      <c r="D66" s="155" t="s">
        <v>90</v>
      </c>
      <c r="E66" s="48" t="s">
        <v>232</v>
      </c>
      <c r="F66" s="152"/>
      <c r="G66" s="55"/>
    </row>
    <row r="67" spans="3:7" ht="22.5" customHeight="1">
      <c r="C67" s="209"/>
      <c r="D67" s="155" t="s">
        <v>92</v>
      </c>
      <c r="E67" s="48" t="s">
        <v>233</v>
      </c>
      <c r="F67" s="153"/>
      <c r="G67" s="58"/>
    </row>
  </sheetData>
  <mergeCells count="12">
    <mergeCell ref="C62:C67"/>
    <mergeCell ref="C2:E3"/>
    <mergeCell ref="C26:C30"/>
    <mergeCell ref="C20:C25"/>
    <mergeCell ref="E47:E49"/>
    <mergeCell ref="F6:F19"/>
    <mergeCell ref="C37:C61"/>
    <mergeCell ref="D47:D49"/>
    <mergeCell ref="E50:E61"/>
    <mergeCell ref="D50:D61"/>
    <mergeCell ref="C6:C19"/>
    <mergeCell ref="C31:C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45"/>
  <sheetViews>
    <sheetView showGridLines="0" workbookViewId="0"/>
  </sheetViews>
  <sheetFormatPr baseColWidth="10" defaultColWidth="8.83203125" defaultRowHeight="13"/>
  <cols>
    <col min="1" max="2" width="3.6640625" style="89" customWidth="1"/>
    <col min="3" max="3" width="24.5" style="89" customWidth="1"/>
    <col min="4" max="4" width="27.33203125" style="89" customWidth="1"/>
    <col min="5" max="11" width="45.5" style="89" customWidth="1"/>
    <col min="12" max="12" width="8.83203125" style="89" customWidth="1"/>
    <col min="13" max="16384" width="8.83203125" style="89"/>
  </cols>
  <sheetData>
    <row r="1" spans="2:10" ht="17.5" customHeight="1"/>
    <row r="2" spans="2:10" ht="17.5" customHeight="1">
      <c r="C2" s="217" t="s">
        <v>234</v>
      </c>
      <c r="D2" s="220"/>
      <c r="E2" s="220"/>
    </row>
    <row r="3" spans="2:10" ht="17.5" customHeight="1">
      <c r="C3" s="220"/>
      <c r="D3" s="220"/>
      <c r="E3" s="220"/>
    </row>
    <row r="4" spans="2:10" ht="17.5" customHeight="1"/>
    <row r="5" spans="2:10" ht="35" customHeight="1">
      <c r="C5" s="226" t="s">
        <v>235</v>
      </c>
      <c r="D5" s="222"/>
      <c r="E5" s="222"/>
      <c r="F5" s="222"/>
      <c r="G5" s="222"/>
      <c r="H5" s="222"/>
      <c r="I5" s="222"/>
      <c r="J5" s="222"/>
    </row>
    <row r="6" spans="2:10" ht="35" customHeight="1">
      <c r="C6" s="90" t="s">
        <v>236</v>
      </c>
      <c r="D6" s="90" t="s">
        <v>237</v>
      </c>
      <c r="E6" s="90" t="s">
        <v>238</v>
      </c>
      <c r="F6" s="91" t="s">
        <v>239</v>
      </c>
      <c r="G6" s="91" t="s">
        <v>240</v>
      </c>
      <c r="H6" s="91" t="s">
        <v>31</v>
      </c>
      <c r="I6" s="91" t="s">
        <v>241</v>
      </c>
      <c r="J6" s="91" t="s">
        <v>30</v>
      </c>
    </row>
    <row r="7" spans="2:10" ht="123" customHeight="1">
      <c r="C7" s="92">
        <v>10</v>
      </c>
      <c r="D7" s="93" t="s">
        <v>242</v>
      </c>
      <c r="E7" s="94" t="s">
        <v>243</v>
      </c>
      <c r="F7" s="94" t="s">
        <v>244</v>
      </c>
      <c r="G7" s="94" t="s">
        <v>245</v>
      </c>
      <c r="H7" s="94" t="s">
        <v>246</v>
      </c>
      <c r="I7" s="94" t="s">
        <v>247</v>
      </c>
      <c r="J7" s="94" t="s">
        <v>248</v>
      </c>
    </row>
    <row r="8" spans="2:10" ht="130.75" customHeight="1">
      <c r="C8" s="95">
        <v>7</v>
      </c>
      <c r="D8" s="96" t="s">
        <v>249</v>
      </c>
      <c r="E8" s="97" t="s">
        <v>250</v>
      </c>
      <c r="F8" s="97" t="s">
        <v>251</v>
      </c>
      <c r="G8" s="97" t="s">
        <v>252</v>
      </c>
      <c r="H8" s="97" t="s">
        <v>253</v>
      </c>
      <c r="I8" s="97" t="s">
        <v>254</v>
      </c>
      <c r="J8" s="97" t="s">
        <v>255</v>
      </c>
    </row>
    <row r="9" spans="2:10" ht="102.75" customHeight="1">
      <c r="C9" s="95">
        <v>5</v>
      </c>
      <c r="D9" s="96" t="s">
        <v>256</v>
      </c>
      <c r="E9" s="97" t="s">
        <v>257</v>
      </c>
      <c r="F9" s="97" t="s">
        <v>258</v>
      </c>
      <c r="G9" s="97" t="s">
        <v>259</v>
      </c>
      <c r="H9" s="97" t="s">
        <v>260</v>
      </c>
      <c r="I9" s="97" t="s">
        <v>261</v>
      </c>
      <c r="J9" s="97" t="s">
        <v>262</v>
      </c>
    </row>
    <row r="10" spans="2:10" ht="96" customHeight="1">
      <c r="C10" s="95">
        <v>3</v>
      </c>
      <c r="D10" s="96" t="s">
        <v>263</v>
      </c>
      <c r="E10" s="97" t="s">
        <v>264</v>
      </c>
      <c r="F10" s="97" t="s">
        <v>265</v>
      </c>
      <c r="G10" s="97" t="s">
        <v>266</v>
      </c>
      <c r="H10" s="97" t="s">
        <v>267</v>
      </c>
      <c r="I10" s="97" t="s">
        <v>268</v>
      </c>
      <c r="J10" s="97" t="s">
        <v>269</v>
      </c>
    </row>
    <row r="11" spans="2:10" ht="101" customHeight="1">
      <c r="C11" s="98">
        <v>2</v>
      </c>
      <c r="D11" s="99" t="s">
        <v>270</v>
      </c>
      <c r="E11" s="100" t="s">
        <v>271</v>
      </c>
      <c r="F11" s="100" t="s">
        <v>272</v>
      </c>
      <c r="G11" s="100" t="s">
        <v>273</v>
      </c>
      <c r="H11" s="100" t="s">
        <v>274</v>
      </c>
      <c r="I11" s="100" t="s">
        <v>275</v>
      </c>
      <c r="J11" s="100" t="s">
        <v>276</v>
      </c>
    </row>
    <row r="12" spans="2:10" ht="13" customHeight="1">
      <c r="C12" s="101"/>
      <c r="D12" s="102"/>
      <c r="E12" s="103"/>
      <c r="F12" s="103"/>
      <c r="G12" s="103"/>
      <c r="H12" s="103"/>
      <c r="I12" s="103"/>
      <c r="J12" s="103"/>
    </row>
    <row r="13" spans="2:10" ht="35.75" customHeight="1">
      <c r="B13" s="104"/>
      <c r="C13" s="227" t="s">
        <v>277</v>
      </c>
      <c r="D13" s="228"/>
      <c r="E13" s="228"/>
      <c r="F13" s="228"/>
      <c r="G13" s="228"/>
      <c r="I13" s="34"/>
    </row>
    <row r="14" spans="2:10" ht="35.75" customHeight="1">
      <c r="B14" s="104"/>
      <c r="C14" s="105" t="s">
        <v>236</v>
      </c>
      <c r="D14" s="106" t="s">
        <v>237</v>
      </c>
      <c r="E14" s="105" t="s">
        <v>278</v>
      </c>
      <c r="F14" s="107" t="s">
        <v>279</v>
      </c>
      <c r="G14" s="105" t="s">
        <v>280</v>
      </c>
    </row>
    <row r="15" spans="2:10" ht="35.75" customHeight="1">
      <c r="B15" s="223" t="s">
        <v>281</v>
      </c>
      <c r="C15" s="108">
        <v>2</v>
      </c>
      <c r="D15" s="109" t="s">
        <v>270</v>
      </c>
      <c r="E15" s="110" t="s">
        <v>282</v>
      </c>
      <c r="F15" s="111" t="s">
        <v>283</v>
      </c>
      <c r="G15" s="110" t="s">
        <v>284</v>
      </c>
    </row>
    <row r="16" spans="2:10" ht="35.75" customHeight="1">
      <c r="B16" s="224"/>
      <c r="C16" s="112">
        <v>3</v>
      </c>
      <c r="D16" s="113" t="s">
        <v>263</v>
      </c>
      <c r="E16" s="114" t="s">
        <v>285</v>
      </c>
      <c r="F16" s="115" t="s">
        <v>286</v>
      </c>
      <c r="G16" s="114" t="s">
        <v>287</v>
      </c>
    </row>
    <row r="17" spans="2:10" ht="35.75" customHeight="1">
      <c r="B17" s="224"/>
      <c r="C17" s="116">
        <v>5</v>
      </c>
      <c r="D17" s="113" t="s">
        <v>256</v>
      </c>
      <c r="E17" s="114" t="s">
        <v>288</v>
      </c>
      <c r="F17" s="115" t="s">
        <v>289</v>
      </c>
      <c r="G17" s="114" t="s">
        <v>290</v>
      </c>
    </row>
    <row r="18" spans="2:10" ht="35.75" customHeight="1">
      <c r="B18" s="224"/>
      <c r="C18" s="117">
        <v>7</v>
      </c>
      <c r="D18" s="113" t="s">
        <v>249</v>
      </c>
      <c r="E18" s="114" t="s">
        <v>291</v>
      </c>
      <c r="F18" s="115" t="s">
        <v>292</v>
      </c>
      <c r="G18" s="114" t="s">
        <v>293</v>
      </c>
    </row>
    <row r="19" spans="2:10" ht="35.75" customHeight="1">
      <c r="B19" s="224"/>
      <c r="C19" s="118">
        <v>10</v>
      </c>
      <c r="D19" s="119" t="s">
        <v>294</v>
      </c>
      <c r="E19" s="120" t="s">
        <v>295</v>
      </c>
      <c r="F19" s="121" t="s">
        <v>296</v>
      </c>
      <c r="G19" s="122" t="s">
        <v>297</v>
      </c>
    </row>
    <row r="20" spans="2:10" ht="35.75" customHeight="1">
      <c r="B20" s="223" t="s">
        <v>298</v>
      </c>
      <c r="C20" s="123">
        <v>2</v>
      </c>
      <c r="D20" s="124" t="s">
        <v>270</v>
      </c>
      <c r="E20" s="125" t="s">
        <v>282</v>
      </c>
      <c r="F20" s="126" t="s">
        <v>299</v>
      </c>
      <c r="G20" s="127" t="s">
        <v>299</v>
      </c>
    </row>
    <row r="21" spans="2:10" ht="35.75" customHeight="1">
      <c r="B21" s="224"/>
      <c r="C21" s="112">
        <v>3</v>
      </c>
      <c r="D21" s="113" t="s">
        <v>263</v>
      </c>
      <c r="E21" s="128" t="s">
        <v>300</v>
      </c>
      <c r="F21" s="129" t="s">
        <v>301</v>
      </c>
      <c r="G21" s="130" t="s">
        <v>302</v>
      </c>
    </row>
    <row r="22" spans="2:10" ht="35.75" customHeight="1">
      <c r="B22" s="224"/>
      <c r="C22" s="116">
        <v>5</v>
      </c>
      <c r="D22" s="113" t="s">
        <v>256</v>
      </c>
      <c r="E22" s="128" t="s">
        <v>303</v>
      </c>
      <c r="F22" s="129" t="s">
        <v>304</v>
      </c>
      <c r="G22" s="130" t="s">
        <v>305</v>
      </c>
    </row>
    <row r="23" spans="2:10" ht="35.75" customHeight="1">
      <c r="B23" s="224"/>
      <c r="C23" s="117">
        <v>7</v>
      </c>
      <c r="D23" s="113" t="s">
        <v>249</v>
      </c>
      <c r="E23" s="128" t="s">
        <v>306</v>
      </c>
      <c r="F23" s="129" t="s">
        <v>307</v>
      </c>
      <c r="G23" s="130" t="s">
        <v>308</v>
      </c>
    </row>
    <row r="24" spans="2:10" ht="35.75" customHeight="1">
      <c r="B24" s="224"/>
      <c r="C24" s="118">
        <v>10</v>
      </c>
      <c r="D24" s="119" t="s">
        <v>294</v>
      </c>
      <c r="E24" s="128" t="s">
        <v>309</v>
      </c>
      <c r="F24" s="131" t="s">
        <v>310</v>
      </c>
      <c r="G24" s="132" t="s">
        <v>311</v>
      </c>
    </row>
    <row r="25" spans="2:10" ht="35.75" customHeight="1">
      <c r="B25" s="223" t="s">
        <v>312</v>
      </c>
      <c r="C25" s="123">
        <v>2</v>
      </c>
      <c r="D25" s="133" t="s">
        <v>270</v>
      </c>
      <c r="E25" s="125" t="s">
        <v>313</v>
      </c>
      <c r="F25" s="127" t="s">
        <v>282</v>
      </c>
      <c r="G25" s="127" t="s">
        <v>284</v>
      </c>
    </row>
    <row r="26" spans="2:10" ht="35.75" customHeight="1">
      <c r="B26" s="224"/>
      <c r="C26" s="112">
        <v>3</v>
      </c>
      <c r="D26" s="134" t="s">
        <v>263</v>
      </c>
      <c r="E26" s="114" t="s">
        <v>314</v>
      </c>
      <c r="F26" s="130" t="s">
        <v>315</v>
      </c>
      <c r="G26" s="130" t="s">
        <v>316</v>
      </c>
    </row>
    <row r="27" spans="2:10" ht="35.75" customHeight="1">
      <c r="B27" s="224"/>
      <c r="C27" s="116">
        <v>5</v>
      </c>
      <c r="D27" s="134" t="s">
        <v>256</v>
      </c>
      <c r="E27" s="114" t="s">
        <v>304</v>
      </c>
      <c r="F27" s="130" t="s">
        <v>317</v>
      </c>
      <c r="G27" s="130" t="s">
        <v>318</v>
      </c>
    </row>
    <row r="28" spans="2:10" ht="35.75" customHeight="1">
      <c r="B28" s="224"/>
      <c r="C28" s="117">
        <v>7</v>
      </c>
      <c r="D28" s="134" t="s">
        <v>249</v>
      </c>
      <c r="E28" s="114" t="s">
        <v>307</v>
      </c>
      <c r="F28" s="130" t="s">
        <v>319</v>
      </c>
      <c r="G28" s="130" t="s">
        <v>320</v>
      </c>
    </row>
    <row r="29" spans="2:10" ht="35.75" customHeight="1">
      <c r="B29" s="224"/>
      <c r="C29" s="135">
        <v>10</v>
      </c>
      <c r="D29" s="134" t="s">
        <v>294</v>
      </c>
      <c r="E29" s="114" t="s">
        <v>310</v>
      </c>
      <c r="F29" s="130" t="s">
        <v>321</v>
      </c>
      <c r="G29" s="130" t="s">
        <v>322</v>
      </c>
    </row>
    <row r="30" spans="2:10">
      <c r="C30" s="136"/>
      <c r="D30" s="136"/>
      <c r="E30" s="136"/>
      <c r="F30" s="137"/>
      <c r="G30" s="137"/>
      <c r="H30" s="137"/>
      <c r="I30" s="137"/>
      <c r="J30" s="137"/>
    </row>
    <row r="31" spans="2:10" ht="35" customHeight="1">
      <c r="C31" s="221" t="s">
        <v>323</v>
      </c>
      <c r="D31" s="222"/>
      <c r="E31" s="222"/>
      <c r="G31" s="225" t="s">
        <v>324</v>
      </c>
      <c r="H31" s="193"/>
      <c r="I31" s="193"/>
      <c r="J31" s="138"/>
    </row>
    <row r="32" spans="2:10" ht="35" customHeight="1">
      <c r="C32" s="90" t="s">
        <v>325</v>
      </c>
      <c r="D32" s="90" t="s">
        <v>237</v>
      </c>
      <c r="E32" s="90" t="s">
        <v>326</v>
      </c>
      <c r="G32" s="139" t="s">
        <v>236</v>
      </c>
      <c r="H32" s="139" t="s">
        <v>327</v>
      </c>
      <c r="I32" s="139" t="s">
        <v>237</v>
      </c>
      <c r="J32" s="102"/>
    </row>
    <row r="33" spans="3:9" ht="100.25" customHeight="1">
      <c r="C33" s="92">
        <v>6</v>
      </c>
      <c r="D33" s="93" t="s">
        <v>328</v>
      </c>
      <c r="E33" s="140" t="s">
        <v>329</v>
      </c>
      <c r="G33" s="141">
        <v>4</v>
      </c>
      <c r="H33" s="142">
        <v>0.1</v>
      </c>
      <c r="I33" s="143" t="s">
        <v>330</v>
      </c>
    </row>
    <row r="34" spans="3:9" ht="100.25" customHeight="1">
      <c r="C34" s="95">
        <v>5</v>
      </c>
      <c r="D34" s="96" t="s">
        <v>331</v>
      </c>
      <c r="E34" s="140" t="s">
        <v>332</v>
      </c>
      <c r="G34" s="144">
        <v>3</v>
      </c>
      <c r="H34" s="142">
        <v>0.25</v>
      </c>
      <c r="I34" s="143" t="s">
        <v>333</v>
      </c>
    </row>
    <row r="35" spans="3:9" ht="100.25" customHeight="1">
      <c r="C35" s="95">
        <v>4</v>
      </c>
      <c r="D35" s="96" t="s">
        <v>334</v>
      </c>
      <c r="E35" s="140" t="s">
        <v>335</v>
      </c>
      <c r="G35" s="145">
        <v>2</v>
      </c>
      <c r="H35" s="142">
        <v>0.5</v>
      </c>
      <c r="I35" s="143" t="s">
        <v>336</v>
      </c>
    </row>
    <row r="36" spans="3:9" ht="100.25" customHeight="1">
      <c r="C36" s="95">
        <v>3</v>
      </c>
      <c r="D36" s="96" t="s">
        <v>337</v>
      </c>
      <c r="E36" s="140" t="s">
        <v>338</v>
      </c>
      <c r="G36" s="146">
        <v>1</v>
      </c>
      <c r="H36" s="142">
        <v>0.75</v>
      </c>
      <c r="I36" s="143" t="s">
        <v>339</v>
      </c>
    </row>
    <row r="37" spans="3:9" ht="100.25" customHeight="1">
      <c r="C37" s="98">
        <v>2</v>
      </c>
      <c r="D37" s="99" t="s">
        <v>340</v>
      </c>
      <c r="E37" s="140" t="s">
        <v>341</v>
      </c>
      <c r="G37" s="147">
        <v>0</v>
      </c>
      <c r="H37" s="142">
        <v>1</v>
      </c>
      <c r="I37" s="143" t="s">
        <v>342</v>
      </c>
    </row>
    <row r="38" spans="3:9" ht="38" customHeight="1"/>
    <row r="39" spans="3:9" ht="38" customHeight="1"/>
    <row r="40" spans="3:9" ht="36.5" customHeight="1"/>
    <row r="41" spans="3:9" ht="70" customHeight="1"/>
    <row r="42" spans="3:9" ht="70" customHeight="1"/>
    <row r="43" spans="3:9" ht="70" customHeight="1"/>
    <row r="44" spans="3:9" ht="70" customHeight="1"/>
    <row r="45" spans="3:9" ht="70" customHeight="1"/>
  </sheetData>
  <mergeCells count="8">
    <mergeCell ref="C2:E3"/>
    <mergeCell ref="C31:E31"/>
    <mergeCell ref="B25:B29"/>
    <mergeCell ref="G31:I31"/>
    <mergeCell ref="B20:B24"/>
    <mergeCell ref="C5:J5"/>
    <mergeCell ref="B15:B19"/>
    <mergeCell ref="C13:G13"/>
  </mergeCells>
  <conditionalFormatting sqref="C7:C12"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C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34998626667073579"/>
  </sheetPr>
  <dimension ref="B2:S68"/>
  <sheetViews>
    <sheetView showGridLines="0" tabSelected="1" workbookViewId="0"/>
  </sheetViews>
  <sheetFormatPr baseColWidth="10" defaultColWidth="8.83203125" defaultRowHeight="15"/>
  <cols>
    <col min="1" max="1" width="1.5" style="4" customWidth="1"/>
    <col min="2" max="3" width="25.1640625" style="4" customWidth="1"/>
    <col min="4" max="4" width="31.1640625" style="7" customWidth="1"/>
    <col min="5" max="5" width="36.1640625" style="8" customWidth="1"/>
    <col min="6" max="6" width="2.83203125" style="9" customWidth="1"/>
    <col min="7" max="7" width="25.83203125" style="4" customWidth="1"/>
    <col min="8" max="8" width="25.83203125" style="3" customWidth="1"/>
    <col min="9" max="9" width="5.1640625" style="4" customWidth="1"/>
    <col min="10" max="10" width="16" style="4" customWidth="1"/>
    <col min="11" max="11" width="20.5" style="4" customWidth="1"/>
    <col min="12" max="12" width="4.1640625" style="4" customWidth="1"/>
    <col min="13" max="13" width="16" style="4" customWidth="1"/>
    <col min="14" max="14" width="19.1640625" style="4" customWidth="1"/>
    <col min="15" max="15" width="8.83203125" style="4" customWidth="1"/>
    <col min="16" max="16" width="41.1640625" style="4" customWidth="1"/>
    <col min="17" max="17" width="40.6640625" style="4" customWidth="1"/>
    <col min="18" max="18" width="46" style="4" customWidth="1"/>
    <col min="19" max="19" width="16.5" style="4" customWidth="1"/>
    <col min="20" max="20" width="8.83203125" style="4" customWidth="1"/>
    <col min="21" max="16384" width="8.83203125" style="4"/>
  </cols>
  <sheetData>
    <row r="2" spans="2:19" ht="28.75" customHeight="1">
      <c r="B2" s="2" t="s">
        <v>18</v>
      </c>
      <c r="C2" s="2" t="s">
        <v>343</v>
      </c>
      <c r="D2" s="2" t="s">
        <v>17</v>
      </c>
      <c r="E2" s="1" t="s">
        <v>344</v>
      </c>
      <c r="F2" s="12"/>
      <c r="G2" s="1" t="s">
        <v>345</v>
      </c>
      <c r="H2" s="10" t="s">
        <v>344</v>
      </c>
      <c r="J2" s="10" t="s">
        <v>346</v>
      </c>
      <c r="K2" s="10" t="s">
        <v>347</v>
      </c>
      <c r="M2" s="10" t="s">
        <v>348</v>
      </c>
      <c r="N2" s="10" t="s">
        <v>327</v>
      </c>
      <c r="P2" s="28" t="s">
        <v>98</v>
      </c>
      <c r="Q2" s="28" t="s">
        <v>100</v>
      </c>
      <c r="R2" s="28" t="s">
        <v>349</v>
      </c>
      <c r="S2" s="1" t="s">
        <v>344</v>
      </c>
    </row>
    <row r="3" spans="2:19" ht="25" customHeight="1">
      <c r="B3" s="30" t="s">
        <v>350</v>
      </c>
      <c r="C3" s="143"/>
      <c r="D3" s="143"/>
      <c r="E3" s="11" t="s">
        <v>351</v>
      </c>
      <c r="F3" s="12"/>
      <c r="G3" s="78" t="s">
        <v>352</v>
      </c>
      <c r="H3" s="79" t="s">
        <v>353</v>
      </c>
      <c r="J3" s="13" t="s">
        <v>69</v>
      </c>
      <c r="K3" s="13" t="s">
        <v>69</v>
      </c>
      <c r="L3" s="7"/>
      <c r="M3" s="83">
        <v>4</v>
      </c>
      <c r="N3" s="13">
        <v>0.1</v>
      </c>
      <c r="P3" s="35" t="s">
        <v>354</v>
      </c>
      <c r="Q3" s="80" t="s">
        <v>125</v>
      </c>
      <c r="R3" s="82" t="s">
        <v>69</v>
      </c>
      <c r="S3" s="49" t="s">
        <v>353</v>
      </c>
    </row>
    <row r="4" spans="2:19" ht="16">
      <c r="B4" s="30" t="s">
        <v>355</v>
      </c>
      <c r="C4" s="31"/>
      <c r="D4" s="143"/>
      <c r="E4" s="11" t="s">
        <v>356</v>
      </c>
      <c r="F4" s="7"/>
      <c r="G4" s="78" t="s">
        <v>357</v>
      </c>
      <c r="H4" s="79" t="s">
        <v>358</v>
      </c>
      <c r="J4" s="13">
        <v>2</v>
      </c>
      <c r="K4" s="13">
        <v>2</v>
      </c>
      <c r="M4" s="84">
        <v>3</v>
      </c>
      <c r="N4" s="13">
        <v>0.25</v>
      </c>
      <c r="P4" s="35" t="s">
        <v>354</v>
      </c>
      <c r="Q4" s="80" t="s">
        <v>127</v>
      </c>
      <c r="R4" s="82" t="s">
        <v>69</v>
      </c>
      <c r="S4" s="49" t="s">
        <v>353</v>
      </c>
    </row>
    <row r="5" spans="2:19" ht="25" customHeight="1">
      <c r="B5" s="30" t="s">
        <v>359</v>
      </c>
      <c r="C5" s="143"/>
      <c r="D5" s="143"/>
      <c r="E5" s="11" t="s">
        <v>360</v>
      </c>
      <c r="F5" s="7"/>
      <c r="G5" s="78" t="s">
        <v>361</v>
      </c>
      <c r="H5" s="79" t="s">
        <v>362</v>
      </c>
      <c r="J5" s="5">
        <v>3</v>
      </c>
      <c r="K5" s="5">
        <v>3</v>
      </c>
      <c r="M5" s="85">
        <v>2</v>
      </c>
      <c r="N5" s="5">
        <v>0.5</v>
      </c>
      <c r="P5" s="35" t="s">
        <v>354</v>
      </c>
      <c r="Q5" s="80" t="s">
        <v>129</v>
      </c>
      <c r="R5" s="82" t="s">
        <v>69</v>
      </c>
      <c r="S5" s="49" t="s">
        <v>353</v>
      </c>
    </row>
    <row r="6" spans="2:19" ht="16">
      <c r="B6" s="30" t="s">
        <v>363</v>
      </c>
      <c r="C6" s="143"/>
      <c r="D6" s="143"/>
      <c r="E6" s="11" t="s">
        <v>364</v>
      </c>
      <c r="F6" s="7"/>
      <c r="G6" s="78" t="s">
        <v>365</v>
      </c>
      <c r="H6" s="79" t="s">
        <v>366</v>
      </c>
      <c r="J6" s="6">
        <v>5</v>
      </c>
      <c r="K6" s="6">
        <v>4</v>
      </c>
      <c r="M6" s="86">
        <v>1</v>
      </c>
      <c r="N6" s="6">
        <v>0.75</v>
      </c>
      <c r="P6" s="35" t="s">
        <v>354</v>
      </c>
      <c r="Q6" s="80" t="s">
        <v>131</v>
      </c>
      <c r="R6" s="82" t="s">
        <v>69</v>
      </c>
      <c r="S6" s="49" t="s">
        <v>353</v>
      </c>
    </row>
    <row r="7" spans="2:19" ht="16">
      <c r="B7" s="30" t="s">
        <v>367</v>
      </c>
      <c r="C7" s="143"/>
      <c r="D7" s="143"/>
      <c r="E7" s="11" t="s">
        <v>368</v>
      </c>
      <c r="F7" s="7"/>
      <c r="G7" s="78" t="s">
        <v>369</v>
      </c>
      <c r="H7" s="79" t="s">
        <v>370</v>
      </c>
      <c r="J7" s="6">
        <v>7</v>
      </c>
      <c r="K7" s="6">
        <v>5</v>
      </c>
      <c r="M7" s="87">
        <v>0</v>
      </c>
      <c r="N7" s="6">
        <v>1</v>
      </c>
      <c r="P7" s="35" t="s">
        <v>354</v>
      </c>
      <c r="Q7" s="80" t="s">
        <v>133</v>
      </c>
      <c r="R7" s="82" t="s">
        <v>69</v>
      </c>
      <c r="S7" s="49" t="s">
        <v>353</v>
      </c>
    </row>
    <row r="8" spans="2:19" ht="16">
      <c r="B8" s="30" t="s">
        <v>371</v>
      </c>
      <c r="C8" s="143"/>
      <c r="D8" s="143"/>
      <c r="E8" s="11" t="s">
        <v>372</v>
      </c>
      <c r="F8" s="7"/>
      <c r="G8" s="76" t="s">
        <v>373</v>
      </c>
      <c r="H8" s="77" t="s">
        <v>374</v>
      </c>
      <c r="J8" s="6">
        <v>10</v>
      </c>
      <c r="K8" s="6">
        <v>6</v>
      </c>
      <c r="P8" s="35" t="s">
        <v>354</v>
      </c>
      <c r="Q8" s="80" t="s">
        <v>135</v>
      </c>
      <c r="R8" s="82" t="s">
        <v>69</v>
      </c>
      <c r="S8" s="49" t="s">
        <v>353</v>
      </c>
    </row>
    <row r="9" spans="2:19" ht="28">
      <c r="B9" s="143" t="s">
        <v>375</v>
      </c>
      <c r="C9" s="143"/>
      <c r="D9" s="143"/>
      <c r="E9" s="11" t="s">
        <v>376</v>
      </c>
      <c r="F9" s="7"/>
      <c r="P9" s="35" t="s">
        <v>354</v>
      </c>
      <c r="Q9" s="80" t="s">
        <v>137</v>
      </c>
      <c r="R9" s="82" t="s">
        <v>69</v>
      </c>
      <c r="S9" s="49" t="s">
        <v>353</v>
      </c>
    </row>
    <row r="10" spans="2:19">
      <c r="B10" s="143" t="s">
        <v>377</v>
      </c>
      <c r="C10" s="143"/>
      <c r="D10" s="143"/>
      <c r="E10" s="11" t="s">
        <v>378</v>
      </c>
      <c r="F10" s="7"/>
      <c r="J10" s="148"/>
      <c r="K10" s="148"/>
      <c r="M10" s="148"/>
      <c r="N10" s="148"/>
      <c r="P10" s="35" t="s">
        <v>354</v>
      </c>
      <c r="Q10" s="80" t="s">
        <v>139</v>
      </c>
      <c r="R10" s="82" t="s">
        <v>69</v>
      </c>
      <c r="S10" s="49" t="s">
        <v>353</v>
      </c>
    </row>
    <row r="11" spans="2:19">
      <c r="B11" s="143" t="s">
        <v>379</v>
      </c>
      <c r="C11" s="143"/>
      <c r="D11" s="143"/>
      <c r="E11" s="11" t="s">
        <v>380</v>
      </c>
      <c r="F11" s="7"/>
      <c r="J11" s="7"/>
      <c r="K11" s="7"/>
      <c r="L11" s="7"/>
      <c r="M11" s="7"/>
      <c r="N11" s="7"/>
      <c r="P11" s="35" t="s">
        <v>354</v>
      </c>
      <c r="Q11" s="80" t="s">
        <v>141</v>
      </c>
      <c r="R11" s="82" t="s">
        <v>69</v>
      </c>
      <c r="S11" s="49" t="s">
        <v>353</v>
      </c>
    </row>
    <row r="12" spans="2:19">
      <c r="B12" s="143" t="s">
        <v>381</v>
      </c>
      <c r="C12" s="143"/>
      <c r="D12" s="143"/>
      <c r="E12" s="11" t="s">
        <v>382</v>
      </c>
      <c r="F12" s="7"/>
      <c r="J12" s="7"/>
      <c r="K12" s="7"/>
      <c r="M12" s="7"/>
      <c r="N12" s="7"/>
      <c r="P12" s="35" t="s">
        <v>354</v>
      </c>
      <c r="Q12" s="80" t="s">
        <v>143</v>
      </c>
      <c r="R12" s="82" t="s">
        <v>69</v>
      </c>
      <c r="S12" s="49" t="s">
        <v>353</v>
      </c>
    </row>
    <row r="13" spans="2:19" ht="28">
      <c r="B13" s="143" t="s">
        <v>383</v>
      </c>
      <c r="C13" s="143"/>
      <c r="D13" s="143"/>
      <c r="E13" s="11" t="s">
        <v>384</v>
      </c>
      <c r="F13" s="7"/>
      <c r="J13" s="7"/>
      <c r="K13" s="7"/>
      <c r="M13" s="7"/>
      <c r="N13" s="7"/>
      <c r="P13" s="35" t="s">
        <v>354</v>
      </c>
      <c r="Q13" s="80" t="s">
        <v>145</v>
      </c>
      <c r="R13" s="82" t="s">
        <v>69</v>
      </c>
      <c r="S13" s="49" t="s">
        <v>353</v>
      </c>
    </row>
    <row r="14" spans="2:19">
      <c r="B14" s="143" t="s">
        <v>385</v>
      </c>
      <c r="C14" s="143"/>
      <c r="D14" s="143"/>
      <c r="E14" s="11" t="s">
        <v>386</v>
      </c>
      <c r="F14" s="7"/>
      <c r="J14" s="7"/>
      <c r="K14" s="7"/>
      <c r="M14" s="7"/>
      <c r="N14" s="7"/>
      <c r="P14" s="35" t="s">
        <v>354</v>
      </c>
      <c r="Q14" s="80" t="s">
        <v>147</v>
      </c>
      <c r="R14" s="82" t="s">
        <v>69</v>
      </c>
      <c r="S14" s="49" t="s">
        <v>353</v>
      </c>
    </row>
    <row r="15" spans="2:19">
      <c r="B15" s="31" t="s">
        <v>387</v>
      </c>
      <c r="C15" s="143"/>
      <c r="D15" s="143"/>
      <c r="E15" s="11" t="s">
        <v>388</v>
      </c>
      <c r="F15" s="7"/>
      <c r="J15" s="7"/>
      <c r="K15" s="7"/>
      <c r="M15" s="7"/>
      <c r="N15" s="7"/>
      <c r="P15" s="35" t="s">
        <v>354</v>
      </c>
      <c r="Q15" s="80" t="s">
        <v>149</v>
      </c>
      <c r="R15" s="82" t="s">
        <v>69</v>
      </c>
      <c r="S15" s="49" t="s">
        <v>353</v>
      </c>
    </row>
    <row r="16" spans="2:19" ht="28">
      <c r="B16" s="143" t="s">
        <v>389</v>
      </c>
      <c r="C16" s="143"/>
      <c r="D16" s="143"/>
      <c r="E16" s="11" t="s">
        <v>390</v>
      </c>
      <c r="G16" s="73"/>
      <c r="H16" s="74"/>
      <c r="J16" s="7"/>
      <c r="K16" s="7"/>
      <c r="M16" s="7"/>
      <c r="N16" s="7"/>
      <c r="P16" s="35" t="s">
        <v>354</v>
      </c>
      <c r="Q16" s="80" t="s">
        <v>151</v>
      </c>
      <c r="R16" s="82" t="s">
        <v>69</v>
      </c>
      <c r="S16" s="49" t="s">
        <v>353</v>
      </c>
    </row>
    <row r="17" spans="2:19">
      <c r="B17" s="30" t="s">
        <v>391</v>
      </c>
      <c r="C17" s="143"/>
      <c r="D17" s="143"/>
      <c r="E17" s="11" t="s">
        <v>392</v>
      </c>
      <c r="F17" s="12"/>
      <c r="G17" s="19"/>
      <c r="H17" s="20"/>
      <c r="I17" s="12"/>
      <c r="M17" s="7"/>
      <c r="N17" s="7"/>
      <c r="P17" s="35" t="s">
        <v>357</v>
      </c>
      <c r="Q17" s="26" t="s">
        <v>64</v>
      </c>
      <c r="R17" s="82" t="s">
        <v>69</v>
      </c>
      <c r="S17" s="50" t="s">
        <v>358</v>
      </c>
    </row>
    <row r="18" spans="2:19" ht="28">
      <c r="B18" s="30" t="s">
        <v>393</v>
      </c>
      <c r="C18" s="143"/>
      <c r="D18" s="143"/>
      <c r="E18" s="11" t="s">
        <v>394</v>
      </c>
      <c r="F18" s="12"/>
      <c r="G18" s="19"/>
      <c r="H18" s="20"/>
      <c r="I18" s="12"/>
      <c r="J18" s="7"/>
      <c r="K18" s="7"/>
      <c r="M18" s="7"/>
      <c r="N18" s="7"/>
      <c r="P18" s="35" t="s">
        <v>357</v>
      </c>
      <c r="Q18" s="26" t="s">
        <v>395</v>
      </c>
      <c r="R18" s="82" t="s">
        <v>69</v>
      </c>
      <c r="S18" s="50" t="s">
        <v>358</v>
      </c>
    </row>
    <row r="19" spans="2:19">
      <c r="B19" s="30" t="s">
        <v>396</v>
      </c>
      <c r="C19" s="143"/>
      <c r="D19" s="143"/>
      <c r="E19" s="11" t="s">
        <v>397</v>
      </c>
      <c r="F19" s="14"/>
      <c r="G19" s="21"/>
      <c r="H19" s="22"/>
      <c r="I19" s="15"/>
      <c r="J19" s="7"/>
      <c r="K19" s="7"/>
      <c r="M19" s="7"/>
      <c r="N19" s="7"/>
      <c r="P19" s="35" t="s">
        <v>357</v>
      </c>
      <c r="Q19" s="26" t="s">
        <v>71</v>
      </c>
      <c r="R19" s="82" t="s">
        <v>69</v>
      </c>
      <c r="S19" s="50" t="s">
        <v>358</v>
      </c>
    </row>
    <row r="20" spans="2:19">
      <c r="B20" s="143" t="s">
        <v>398</v>
      </c>
      <c r="C20" s="143"/>
      <c r="D20" s="143"/>
      <c r="E20" s="11" t="s">
        <v>399</v>
      </c>
      <c r="F20" s="14"/>
      <c r="G20" s="19"/>
      <c r="H20" s="20"/>
      <c r="I20" s="16"/>
      <c r="J20" s="7"/>
      <c r="K20" s="7"/>
      <c r="M20" s="7"/>
      <c r="N20" s="7"/>
      <c r="P20" s="35" t="s">
        <v>357</v>
      </c>
      <c r="Q20" s="26" t="s">
        <v>77</v>
      </c>
      <c r="R20" s="82" t="s">
        <v>69</v>
      </c>
      <c r="S20" s="50" t="s">
        <v>358</v>
      </c>
    </row>
    <row r="21" spans="2:19">
      <c r="B21" s="143" t="s">
        <v>400</v>
      </c>
      <c r="C21" s="143"/>
      <c r="D21" s="143"/>
      <c r="E21" s="11" t="s">
        <v>401</v>
      </c>
      <c r="F21" s="14"/>
      <c r="G21" s="19"/>
      <c r="I21" s="16"/>
      <c r="J21" s="7"/>
      <c r="K21" s="7"/>
      <c r="M21" s="7"/>
      <c r="N21" s="7"/>
      <c r="P21" s="35" t="s">
        <v>357</v>
      </c>
      <c r="Q21" s="26" t="s">
        <v>82</v>
      </c>
      <c r="R21" s="82" t="s">
        <v>69</v>
      </c>
      <c r="S21" s="50" t="s">
        <v>358</v>
      </c>
    </row>
    <row r="22" spans="2:19">
      <c r="B22" s="143" t="s">
        <v>402</v>
      </c>
      <c r="C22" s="143"/>
      <c r="D22" s="143"/>
      <c r="E22" s="11" t="s">
        <v>403</v>
      </c>
      <c r="F22" s="14"/>
      <c r="G22" s="19"/>
      <c r="I22" s="16"/>
      <c r="J22" s="7"/>
      <c r="K22" s="7"/>
      <c r="P22" s="35" t="s">
        <v>357</v>
      </c>
      <c r="Q22" s="26" t="s">
        <v>87</v>
      </c>
      <c r="R22" s="82" t="s">
        <v>69</v>
      </c>
      <c r="S22" s="50" t="s">
        <v>358</v>
      </c>
    </row>
    <row r="23" spans="2:19">
      <c r="B23" s="143" t="s">
        <v>404</v>
      </c>
      <c r="C23" s="143"/>
      <c r="D23" s="143"/>
      <c r="E23" s="11" t="s">
        <v>405</v>
      </c>
      <c r="F23" s="14"/>
      <c r="G23" s="19"/>
      <c r="I23" s="16"/>
      <c r="M23" s="7"/>
      <c r="P23" s="35" t="s">
        <v>361</v>
      </c>
      <c r="Q23" s="26" t="s">
        <v>65</v>
      </c>
      <c r="R23" s="82" t="s">
        <v>69</v>
      </c>
      <c r="S23" s="50" t="s">
        <v>362</v>
      </c>
    </row>
    <row r="24" spans="2:19" ht="28">
      <c r="B24" s="143" t="s">
        <v>406</v>
      </c>
      <c r="C24" s="143"/>
      <c r="D24" s="143"/>
      <c r="E24" s="11" t="s">
        <v>407</v>
      </c>
      <c r="F24" s="14"/>
      <c r="G24" s="19"/>
      <c r="I24" s="16"/>
      <c r="P24" s="35" t="s">
        <v>361</v>
      </c>
      <c r="Q24" s="27" t="s">
        <v>72</v>
      </c>
      <c r="R24" s="82" t="s">
        <v>69</v>
      </c>
      <c r="S24" s="50" t="s">
        <v>362</v>
      </c>
    </row>
    <row r="25" spans="2:19" ht="28">
      <c r="B25" s="143" t="s">
        <v>408</v>
      </c>
      <c r="C25" s="143"/>
      <c r="D25" s="143"/>
      <c r="E25" s="11" t="s">
        <v>409</v>
      </c>
      <c r="F25" s="14"/>
      <c r="G25" s="21"/>
      <c r="I25" s="16"/>
      <c r="P25" s="35" t="s">
        <v>361</v>
      </c>
      <c r="Q25" s="26" t="s">
        <v>78</v>
      </c>
      <c r="R25" s="82" t="s">
        <v>69</v>
      </c>
      <c r="S25" s="50" t="s">
        <v>362</v>
      </c>
    </row>
    <row r="26" spans="2:19" ht="28">
      <c r="B26" s="143" t="s">
        <v>410</v>
      </c>
      <c r="C26" s="75"/>
      <c r="D26" s="6"/>
      <c r="E26" s="6" t="s">
        <v>411</v>
      </c>
      <c r="F26" s="14"/>
      <c r="G26" s="19"/>
      <c r="I26" s="16"/>
      <c r="P26" s="81" t="s">
        <v>361</v>
      </c>
      <c r="Q26" s="75" t="s">
        <v>83</v>
      </c>
      <c r="R26" s="82" t="s">
        <v>69</v>
      </c>
      <c r="S26" s="75" t="s">
        <v>362</v>
      </c>
    </row>
    <row r="27" spans="2:19">
      <c r="F27" s="17"/>
      <c r="G27" s="19"/>
      <c r="I27" s="16"/>
      <c r="P27" s="35" t="s">
        <v>361</v>
      </c>
      <c r="Q27" s="27" t="s">
        <v>88</v>
      </c>
      <c r="R27" s="82" t="s">
        <v>69</v>
      </c>
      <c r="S27" s="50" t="s">
        <v>362</v>
      </c>
    </row>
    <row r="28" spans="2:19">
      <c r="F28" s="14"/>
      <c r="G28" s="19"/>
      <c r="I28" s="16"/>
      <c r="P28" s="35" t="s">
        <v>365</v>
      </c>
      <c r="Q28" s="26" t="s">
        <v>66</v>
      </c>
      <c r="R28" s="82" t="s">
        <v>69</v>
      </c>
      <c r="S28" s="50" t="s">
        <v>366</v>
      </c>
    </row>
    <row r="29" spans="2:19">
      <c r="F29" s="14"/>
      <c r="G29" s="19"/>
      <c r="I29" s="16"/>
      <c r="P29" s="35" t="s">
        <v>365</v>
      </c>
      <c r="Q29" s="26" t="s">
        <v>73</v>
      </c>
      <c r="R29" s="82" t="s">
        <v>69</v>
      </c>
      <c r="S29" s="50" t="s">
        <v>366</v>
      </c>
    </row>
    <row r="30" spans="2:19">
      <c r="F30" s="14"/>
      <c r="G30" s="19"/>
      <c r="I30" s="16"/>
      <c r="P30" s="35" t="s">
        <v>365</v>
      </c>
      <c r="Q30" s="26" t="s">
        <v>79</v>
      </c>
      <c r="R30" s="82" t="s">
        <v>69</v>
      </c>
      <c r="S30" s="50" t="s">
        <v>366</v>
      </c>
    </row>
    <row r="31" spans="2:19" ht="18.75" customHeight="1">
      <c r="F31" s="14"/>
      <c r="G31" s="19"/>
      <c r="I31" s="16"/>
      <c r="P31" s="35" t="s">
        <v>365</v>
      </c>
      <c r="Q31" s="26" t="s">
        <v>84</v>
      </c>
      <c r="R31" s="82" t="s">
        <v>69</v>
      </c>
      <c r="S31" s="50" t="s">
        <v>366</v>
      </c>
    </row>
    <row r="32" spans="2:19" ht="18.75" customHeight="1">
      <c r="F32" s="14"/>
      <c r="G32" s="19"/>
      <c r="H32" s="24"/>
      <c r="I32" s="18"/>
      <c r="J32" s="16"/>
      <c r="P32" s="35" t="s">
        <v>365</v>
      </c>
      <c r="Q32" s="26" t="s">
        <v>89</v>
      </c>
      <c r="R32" s="82" t="s">
        <v>69</v>
      </c>
      <c r="S32" s="50" t="s">
        <v>366</v>
      </c>
    </row>
    <row r="33" spans="6:19">
      <c r="F33" s="14"/>
      <c r="G33" s="19"/>
      <c r="H33" s="20"/>
      <c r="I33" s="18"/>
      <c r="J33" s="16"/>
      <c r="P33" s="35" t="s">
        <v>365</v>
      </c>
      <c r="Q33" s="26" t="s">
        <v>91</v>
      </c>
      <c r="R33" s="82" t="s">
        <v>69</v>
      </c>
      <c r="S33" s="50" t="s">
        <v>366</v>
      </c>
    </row>
    <row r="34" spans="6:19">
      <c r="F34" s="14"/>
      <c r="G34" s="19"/>
      <c r="H34" s="20"/>
      <c r="I34" s="18"/>
      <c r="J34" s="16"/>
      <c r="P34" s="35" t="s">
        <v>369</v>
      </c>
      <c r="Q34" s="80" t="s">
        <v>175</v>
      </c>
      <c r="R34" s="82" t="s">
        <v>69</v>
      </c>
      <c r="S34" s="50" t="s">
        <v>370</v>
      </c>
    </row>
    <row r="35" spans="6:19">
      <c r="F35" s="17"/>
      <c r="G35" s="19"/>
      <c r="H35" s="20"/>
      <c r="I35" s="18"/>
      <c r="J35" s="16"/>
      <c r="K35" s="16"/>
      <c r="P35" s="35" t="s">
        <v>369</v>
      </c>
      <c r="Q35" s="80" t="s">
        <v>177</v>
      </c>
      <c r="R35" s="82" t="s">
        <v>69</v>
      </c>
      <c r="S35" s="50" t="s">
        <v>370</v>
      </c>
    </row>
    <row r="36" spans="6:19" ht="18.75" customHeight="1">
      <c r="F36" s="14"/>
      <c r="G36" s="19"/>
      <c r="H36" s="20"/>
      <c r="I36" s="18"/>
      <c r="J36" s="16"/>
      <c r="K36" s="16"/>
      <c r="P36" s="35" t="s">
        <v>369</v>
      </c>
      <c r="Q36" s="80" t="s">
        <v>179</v>
      </c>
      <c r="R36" s="82" t="s">
        <v>69</v>
      </c>
      <c r="S36" s="50" t="s">
        <v>370</v>
      </c>
    </row>
    <row r="37" spans="6:19">
      <c r="F37" s="14"/>
      <c r="G37" s="19"/>
      <c r="H37" s="20"/>
      <c r="I37" s="18"/>
      <c r="J37" s="16"/>
      <c r="K37" s="16"/>
      <c r="P37" s="35" t="s">
        <v>369</v>
      </c>
      <c r="Q37" s="80" t="s">
        <v>181</v>
      </c>
      <c r="R37" s="82" t="s">
        <v>69</v>
      </c>
      <c r="S37" s="50" t="s">
        <v>370</v>
      </c>
    </row>
    <row r="38" spans="6:19" ht="19.25" customHeight="1">
      <c r="F38" s="14"/>
      <c r="G38" s="19"/>
      <c r="H38" s="23"/>
      <c r="I38" s="18"/>
      <c r="J38" s="16"/>
      <c r="K38" s="16"/>
      <c r="P38" s="35" t="s">
        <v>369</v>
      </c>
      <c r="Q38" s="80" t="s">
        <v>183</v>
      </c>
      <c r="R38" s="82" t="s">
        <v>69</v>
      </c>
      <c r="S38" s="50" t="s">
        <v>370</v>
      </c>
    </row>
    <row r="39" spans="6:19">
      <c r="G39" s="19"/>
      <c r="H39" s="23"/>
      <c r="K39" s="16"/>
      <c r="P39" s="35" t="s">
        <v>369</v>
      </c>
      <c r="Q39" s="80" t="s">
        <v>185</v>
      </c>
      <c r="R39" s="82" t="s">
        <v>69</v>
      </c>
      <c r="S39" s="50" t="s">
        <v>370</v>
      </c>
    </row>
    <row r="40" spans="6:19">
      <c r="G40" s="19"/>
      <c r="H40" s="25"/>
      <c r="K40" s="16"/>
      <c r="P40" s="35" t="s">
        <v>369</v>
      </c>
      <c r="Q40" s="80" t="s">
        <v>67</v>
      </c>
      <c r="R40" s="82" t="s">
        <v>69</v>
      </c>
      <c r="S40" s="50" t="s">
        <v>370</v>
      </c>
    </row>
    <row r="41" spans="6:19">
      <c r="G41" s="19"/>
      <c r="H41" s="22"/>
      <c r="P41" s="35" t="s">
        <v>369</v>
      </c>
      <c r="Q41" s="80" t="s">
        <v>74</v>
      </c>
      <c r="R41" s="82" t="s">
        <v>69</v>
      </c>
      <c r="S41" s="50" t="s">
        <v>370</v>
      </c>
    </row>
    <row r="42" spans="6:19">
      <c r="G42" s="19"/>
      <c r="H42" s="22"/>
      <c r="P42" s="35" t="s">
        <v>369</v>
      </c>
      <c r="Q42" s="80" t="s">
        <v>189</v>
      </c>
      <c r="R42" s="82" t="s">
        <v>69</v>
      </c>
      <c r="S42" s="50" t="s">
        <v>370</v>
      </c>
    </row>
    <row r="43" spans="6:19">
      <c r="G43" s="19"/>
      <c r="H43" s="22"/>
      <c r="P43" s="35" t="s">
        <v>369</v>
      </c>
      <c r="Q43" s="80" t="s">
        <v>191</v>
      </c>
      <c r="R43" s="82" t="s">
        <v>69</v>
      </c>
      <c r="S43" s="50" t="s">
        <v>370</v>
      </c>
    </row>
    <row r="44" spans="6:19">
      <c r="G44" s="19"/>
      <c r="H44" s="20"/>
      <c r="P44" s="35" t="s">
        <v>369</v>
      </c>
      <c r="Q44" s="26" t="s">
        <v>193</v>
      </c>
      <c r="R44" s="26" t="s">
        <v>412</v>
      </c>
      <c r="S44" s="50" t="s">
        <v>370</v>
      </c>
    </row>
    <row r="45" spans="6:19">
      <c r="P45" s="35" t="s">
        <v>369</v>
      </c>
      <c r="Q45" s="26" t="s">
        <v>413</v>
      </c>
      <c r="R45" s="26" t="s">
        <v>412</v>
      </c>
      <c r="S45" s="50" t="s">
        <v>370</v>
      </c>
    </row>
    <row r="46" spans="6:19">
      <c r="P46" s="35" t="s">
        <v>373</v>
      </c>
      <c r="Q46" s="27" t="s">
        <v>68</v>
      </c>
      <c r="R46" s="82" t="s">
        <v>69</v>
      </c>
      <c r="S46" s="50" t="s">
        <v>374</v>
      </c>
    </row>
    <row r="47" spans="6:19">
      <c r="P47" s="35" t="s">
        <v>373</v>
      </c>
      <c r="Q47" s="26" t="s">
        <v>75</v>
      </c>
      <c r="R47" s="82" t="s">
        <v>69</v>
      </c>
      <c r="S47" s="50" t="s">
        <v>374</v>
      </c>
    </row>
    <row r="48" spans="6:19">
      <c r="P48" s="35" t="s">
        <v>373</v>
      </c>
      <c r="Q48" s="26" t="s">
        <v>80</v>
      </c>
      <c r="R48" s="82" t="s">
        <v>69</v>
      </c>
      <c r="S48" s="50" t="s">
        <v>374</v>
      </c>
    </row>
    <row r="49" spans="16:19">
      <c r="P49" s="35" t="s">
        <v>373</v>
      </c>
      <c r="Q49" s="26" t="s">
        <v>85</v>
      </c>
      <c r="R49" s="82" t="s">
        <v>69</v>
      </c>
      <c r="S49" s="50" t="s">
        <v>374</v>
      </c>
    </row>
    <row r="50" spans="16:19">
      <c r="P50" s="35" t="s">
        <v>373</v>
      </c>
      <c r="Q50" s="26" t="s">
        <v>90</v>
      </c>
      <c r="R50" s="82" t="s">
        <v>69</v>
      </c>
      <c r="S50" s="50" t="s">
        <v>374</v>
      </c>
    </row>
    <row r="51" spans="16:19">
      <c r="P51" s="35" t="s">
        <v>373</v>
      </c>
      <c r="Q51" s="26" t="s">
        <v>92</v>
      </c>
      <c r="R51" s="80" t="s">
        <v>69</v>
      </c>
      <c r="S51" s="50" t="s">
        <v>374</v>
      </c>
    </row>
    <row r="53" spans="16:19">
      <c r="P53" s="28" t="s">
        <v>98</v>
      </c>
      <c r="Q53" s="28" t="s">
        <v>100</v>
      </c>
      <c r="R53" s="28" t="s">
        <v>349</v>
      </c>
      <c r="S53" s="1" t="s">
        <v>344</v>
      </c>
    </row>
    <row r="54" spans="16:19">
      <c r="P54" s="35" t="s">
        <v>369</v>
      </c>
      <c r="Q54" s="26" t="s">
        <v>193</v>
      </c>
      <c r="R54" s="26" t="s">
        <v>195</v>
      </c>
      <c r="S54" s="50" t="s">
        <v>370</v>
      </c>
    </row>
    <row r="55" spans="16:19">
      <c r="P55" s="35" t="s">
        <v>369</v>
      </c>
      <c r="Q55" s="26" t="s">
        <v>193</v>
      </c>
      <c r="R55" s="26" t="s">
        <v>197</v>
      </c>
      <c r="S55" s="50" t="s">
        <v>370</v>
      </c>
    </row>
    <row r="56" spans="16:19">
      <c r="P56" s="35" t="s">
        <v>369</v>
      </c>
      <c r="Q56" s="26" t="s">
        <v>193</v>
      </c>
      <c r="R56" s="26" t="s">
        <v>199</v>
      </c>
      <c r="S56" s="50" t="s">
        <v>370</v>
      </c>
    </row>
    <row r="57" spans="16:19">
      <c r="P57" s="35" t="s">
        <v>369</v>
      </c>
      <c r="Q57" s="26" t="s">
        <v>413</v>
      </c>
      <c r="R57" s="26" t="s">
        <v>203</v>
      </c>
      <c r="S57" s="50" t="s">
        <v>370</v>
      </c>
    </row>
    <row r="58" spans="16:19">
      <c r="P58" s="35" t="s">
        <v>369</v>
      </c>
      <c r="Q58" s="26" t="s">
        <v>413</v>
      </c>
      <c r="R58" s="26" t="s">
        <v>205</v>
      </c>
      <c r="S58" s="50" t="s">
        <v>370</v>
      </c>
    </row>
    <row r="59" spans="16:19">
      <c r="P59" s="35" t="s">
        <v>369</v>
      </c>
      <c r="Q59" s="26" t="s">
        <v>413</v>
      </c>
      <c r="R59" s="26" t="s">
        <v>207</v>
      </c>
      <c r="S59" s="50" t="s">
        <v>370</v>
      </c>
    </row>
    <row r="60" spans="16:19">
      <c r="P60" s="35" t="s">
        <v>369</v>
      </c>
      <c r="Q60" s="26" t="s">
        <v>413</v>
      </c>
      <c r="R60" s="26" t="s">
        <v>209</v>
      </c>
      <c r="S60" s="50" t="s">
        <v>370</v>
      </c>
    </row>
    <row r="61" spans="16:19">
      <c r="P61" s="35" t="s">
        <v>369</v>
      </c>
      <c r="Q61" s="26" t="s">
        <v>413</v>
      </c>
      <c r="R61" s="26" t="s">
        <v>211</v>
      </c>
      <c r="S61" s="50" t="s">
        <v>370</v>
      </c>
    </row>
    <row r="62" spans="16:19">
      <c r="P62" s="35" t="s">
        <v>369</v>
      </c>
      <c r="Q62" s="26" t="s">
        <v>413</v>
      </c>
      <c r="R62" s="26" t="s">
        <v>213</v>
      </c>
      <c r="S62" s="50" t="s">
        <v>370</v>
      </c>
    </row>
    <row r="63" spans="16:19">
      <c r="P63" s="35" t="s">
        <v>369</v>
      </c>
      <c r="Q63" s="26" t="s">
        <v>413</v>
      </c>
      <c r="R63" s="26" t="s">
        <v>215</v>
      </c>
      <c r="S63" s="50" t="s">
        <v>370</v>
      </c>
    </row>
    <row r="64" spans="16:19">
      <c r="P64" s="35" t="s">
        <v>369</v>
      </c>
      <c r="Q64" s="26" t="s">
        <v>413</v>
      </c>
      <c r="R64" s="26" t="s">
        <v>217</v>
      </c>
      <c r="S64" s="50" t="s">
        <v>370</v>
      </c>
    </row>
    <row r="65" spans="16:19">
      <c r="P65" s="35" t="s">
        <v>369</v>
      </c>
      <c r="Q65" s="26" t="s">
        <v>413</v>
      </c>
      <c r="R65" s="26" t="s">
        <v>219</v>
      </c>
      <c r="S65" s="50" t="s">
        <v>370</v>
      </c>
    </row>
    <row r="66" spans="16:19">
      <c r="P66" s="35" t="s">
        <v>369</v>
      </c>
      <c r="Q66" s="26" t="s">
        <v>413</v>
      </c>
      <c r="R66" s="26" t="s">
        <v>221</v>
      </c>
      <c r="S66" s="50" t="s">
        <v>370</v>
      </c>
    </row>
    <row r="67" spans="16:19">
      <c r="P67" s="35" t="s">
        <v>369</v>
      </c>
      <c r="Q67" s="26" t="s">
        <v>413</v>
      </c>
      <c r="R67" s="26" t="s">
        <v>223</v>
      </c>
      <c r="S67" s="50" t="s">
        <v>370</v>
      </c>
    </row>
    <row r="68" spans="16:19">
      <c r="P68" s="35" t="s">
        <v>369</v>
      </c>
      <c r="Q68" s="26" t="s">
        <v>413</v>
      </c>
      <c r="R68" s="26" t="s">
        <v>225</v>
      </c>
      <c r="S68" s="50" t="s">
        <v>370</v>
      </c>
    </row>
  </sheetData>
  <dataValidations count="1">
    <dataValidation type="list" allowBlank="1" showInputMessage="1" showErrorMessage="1" sqref="B21" xr:uid="{00000000-0002-0000-0600-000000000000}">
      <formula1>$B$3:$B$35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baseColWidth="10" defaultColWidth="8.83203125" defaultRowHeight="15"/>
  <cols>
    <col min="1" max="2" width="28" customWidth="1"/>
    <col min="3" max="4" width="55" customWidth="1"/>
  </cols>
  <sheetData>
    <row r="1" spans="1:4" ht="16">
      <c r="A1" s="191" t="s">
        <v>523</v>
      </c>
      <c r="B1" s="191" t="s">
        <v>524</v>
      </c>
      <c r="C1" s="191" t="s">
        <v>525</v>
      </c>
      <c r="D1" s="191" t="s">
        <v>526</v>
      </c>
    </row>
    <row r="2" spans="1:4" ht="48">
      <c r="A2" s="158" t="s">
        <v>414</v>
      </c>
      <c r="B2" s="158" t="s">
        <v>527</v>
      </c>
      <c r="C2" s="158" t="s">
        <v>528</v>
      </c>
      <c r="D2" s="158" t="s">
        <v>529</v>
      </c>
    </row>
    <row r="3" spans="1:4" ht="48">
      <c r="A3" s="158" t="s">
        <v>414</v>
      </c>
      <c r="B3" s="158" t="s">
        <v>530</v>
      </c>
      <c r="C3" s="158" t="s">
        <v>531</v>
      </c>
      <c r="D3" s="158" t="s">
        <v>532</v>
      </c>
    </row>
    <row r="4" spans="1:4" ht="32">
      <c r="A4" s="158" t="s">
        <v>414</v>
      </c>
      <c r="B4" s="158" t="s">
        <v>533</v>
      </c>
      <c r="C4" s="158" t="s">
        <v>534</v>
      </c>
      <c r="D4" s="158" t="s">
        <v>535</v>
      </c>
    </row>
    <row r="5" spans="1:4" ht="32">
      <c r="A5" s="158" t="s">
        <v>414</v>
      </c>
      <c r="B5" s="158" t="s">
        <v>536</v>
      </c>
      <c r="C5" s="158" t="s">
        <v>537</v>
      </c>
      <c r="D5" s="158" t="s">
        <v>538</v>
      </c>
    </row>
    <row r="6" spans="1:4" ht="48">
      <c r="A6" s="158" t="s">
        <v>414</v>
      </c>
      <c r="B6" s="158"/>
      <c r="C6" s="158"/>
      <c r="D6" s="158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15</vt:i4>
      </vt:variant>
    </vt:vector>
  </HeadingPairs>
  <TitlesOfParts>
    <vt:vector size="23" baseType="lpstr">
      <vt:lpstr>Copertina</vt:lpstr>
      <vt:lpstr>Registro dei Rischi</vt:lpstr>
      <vt:lpstr>Rischi per aree PAC</vt:lpstr>
      <vt:lpstr>Risk Guide</vt:lpstr>
      <vt:lpstr>Risk Model</vt:lpstr>
      <vt:lpstr>Metriche di valutazione</vt:lpstr>
      <vt:lpstr>Appoggio</vt:lpstr>
      <vt:lpstr>Fonti e note</vt:lpstr>
      <vt:lpstr>CATEGORIE</vt:lpstr>
      <vt:lpstr>COMPLIANCE</vt:lpstr>
      <vt:lpstr>ESTERNI</vt:lpstr>
      <vt:lpstr>FINANZIARI</vt:lpstr>
      <vt:lpstr>Informativa_e_reporting</vt:lpstr>
      <vt:lpstr>nessuno</vt:lpstr>
      <vt:lpstr>OPERATIVI</vt:lpstr>
      <vt:lpstr>Rischio_Clinico_Sanitario</vt:lpstr>
      <vt:lpstr>Rischio_di_Compliance</vt:lpstr>
      <vt:lpstr>Rischio_Esterno</vt:lpstr>
      <vt:lpstr>Rischio_Finanziario</vt:lpstr>
      <vt:lpstr>Rischio_Operativo</vt:lpstr>
      <vt:lpstr>Rischio_Strategico</vt:lpstr>
      <vt:lpstr>Salute_sicurezza_e_ambiente</vt:lpstr>
      <vt:lpstr>strategici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prova</cp:lastModifiedBy>
  <dcterms:created xsi:type="dcterms:W3CDTF">2026-05-27T16:33:02Z</dcterms:created>
  <dcterms:modified xsi:type="dcterms:W3CDTF">2026-05-27T16:33:02Z</dcterms:modified>
</cp:coreProperties>
</file>